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Omkar\Downloads\"/>
    </mc:Choice>
  </mc:AlternateContent>
  <xr:revisionPtr revIDLastSave="0" documentId="13_ncr:1_{E307786B-652B-4888-B533-DB85D1AC9CB1}" xr6:coauthVersionLast="47" xr6:coauthVersionMax="47" xr10:uidLastSave="{00000000-0000-0000-0000-000000000000}"/>
  <bookViews>
    <workbookView xWindow="-110" yWindow="-110" windowWidth="19420" windowHeight="10300" xr2:uid="{50741E1E-671C-425A-802A-1168A47B65AB}"/>
  </bookViews>
  <sheets>
    <sheet name="Pivot-Report" sheetId="2" r:id="rId1"/>
    <sheet name="DashBoard" sheetId="4" r:id="rId2"/>
    <sheet name="Daily ER No Of Patient" sheetId="5" r:id="rId3"/>
    <sheet name="Avg Wait Time" sheetId="6" r:id="rId4"/>
    <sheet name="Satisfaction Score Daily Trend" sheetId="7" r:id="rId5"/>
  </sheets>
  <definedNames>
    <definedName name="Slicer_Date__Month">#N/A</definedName>
    <definedName name="Slicer_Date__Year">#N/A</definedName>
  </definedNames>
  <calcPr calcId="191029"/>
  <pivotCaches>
    <pivotCache cacheId="3327" r:id="rId6"/>
    <pivotCache cacheId="3330" r:id="rId7"/>
    <pivotCache cacheId="3333" r:id="rId8"/>
    <pivotCache cacheId="3336" r:id="rId9"/>
    <pivotCache cacheId="3339" r:id="rId10"/>
    <pivotCache cacheId="3342" r:id="rId11"/>
    <pivotCache cacheId="3345" r:id="rId12"/>
    <pivotCache cacheId="3348" r:id="rId13"/>
    <pivotCache cacheId="3351" r:id="rId14"/>
    <pivotCache cacheId="3354" r:id="rId15"/>
    <pivotCache cacheId="3357" r:id="rId16"/>
    <pivotCache cacheId="3360"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4b23b25e-309e-433f-a6e5-6ffc968d9308" name="Hospital Emergency Room Data" connection="Query - Hospital Emergency Room Data"/>
          <x15:modelTable id="Calender_Table_31981200-a79b-4c40-b2bf-0000e4378ecc"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3" i="2" l="1"/>
  <c r="C23" i="2"/>
  <c r="B22" i="2"/>
  <c r="C22" i="2"/>
  <c r="A23" i="2"/>
  <c r="A2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8356216-5927-4570-8AD8-11FF3414CB1E}" name="Query - Calender_Table" description="Connection to the 'Calender_Table' query in the workbook." type="100" refreshedVersion="8" minRefreshableVersion="5">
    <extLst>
      <ext xmlns:x15="http://schemas.microsoft.com/office/spreadsheetml/2010/11/main" uri="{DE250136-89BD-433C-8126-D09CA5730AF9}">
        <x15:connection id="fa062186-805c-4676-b5f8-e48858404994"/>
      </ext>
    </extLst>
  </connection>
  <connection id="2" xr16:uid="{2DC77683-76E5-490A-83B3-87C8A3117E53}"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3396ca6c-38c8-4d1d-a924-31c793f58b57"/>
      </ext>
    </extLst>
  </connection>
  <connection id="3" xr16:uid="{90609275-9EF4-4CEE-92A1-E6B988BD2D6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<sst xmlns="http://schemas.openxmlformats.org/spreadsheetml/2006/main" count="156" uniqueCount="76">
  <si>
    <t>Distinct Count of Patient Id</t>
  </si>
  <si>
    <t>No.Of Patient</t>
  </si>
  <si>
    <t>Average of Patient Waittime</t>
  </si>
  <si>
    <t>Average of Patient Satisfaction Score</t>
  </si>
  <si>
    <t>Row Labels</t>
  </si>
  <si>
    <t>Grand Total</t>
  </si>
  <si>
    <t>Daily ER No Of Patient</t>
  </si>
  <si>
    <t>Averege Wait Time</t>
  </si>
  <si>
    <t>Satisfaction Score Daily Trend</t>
  </si>
  <si>
    <t>Count of Patient Admission Flag</t>
  </si>
  <si>
    <t>Admitted</t>
  </si>
  <si>
    <t>Not Admitted</t>
  </si>
  <si>
    <t>Count of Patient Admission Flag2</t>
  </si>
  <si>
    <t>%Status</t>
  </si>
  <si>
    <t>No.Of-Patient</t>
  </si>
  <si>
    <t xml:space="preserve">                   Admission Status</t>
  </si>
  <si>
    <t>Count of Age Group</t>
  </si>
  <si>
    <t>0-09</t>
  </si>
  <si>
    <t>10-19</t>
  </si>
  <si>
    <t>20-29</t>
  </si>
  <si>
    <t>30-39</t>
  </si>
  <si>
    <t>40-49</t>
  </si>
  <si>
    <t>50-59</t>
  </si>
  <si>
    <t>60-69</t>
  </si>
  <si>
    <t>70-79</t>
  </si>
  <si>
    <t>age by group</t>
  </si>
  <si>
    <t>admitted or not admitted</t>
  </si>
  <si>
    <t>Delay</t>
  </si>
  <si>
    <t>OnTime</t>
  </si>
  <si>
    <t>Count of Calculated Column 1</t>
  </si>
  <si>
    <t>Seen Status</t>
  </si>
  <si>
    <t>Male</t>
  </si>
  <si>
    <t>None</t>
  </si>
  <si>
    <t>Female</t>
  </si>
  <si>
    <t>General Practice</t>
  </si>
  <si>
    <t>Orthopedics</t>
  </si>
  <si>
    <t>Physiotherapy</t>
  </si>
  <si>
    <t>Cardiology</t>
  </si>
  <si>
    <t>Neurology</t>
  </si>
  <si>
    <t>Gastroenterology</t>
  </si>
  <si>
    <t>Renal</t>
  </si>
  <si>
    <t>Count of Patient Gender</t>
  </si>
  <si>
    <t>Gender Wise analysis</t>
  </si>
  <si>
    <t>Count of Department Referral</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</si>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</sst>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sz val="11"/>
      <color theme="1"/>
      <name val="Calibri"/>
      <family val="2"/>
      <scheme val="minor"/>
    </font>
    <font>
      <sz val="11"/>
      <color theme="0"/>
      <name val="Calibri"/>
      <family val="2"/>
      <scheme val="minor"/>
    </font>
    <font>
      <sz val="8"/>
      <name val="Calibri"/>
      <family val="2"/>
      <scheme val="minor"/>
    </font>
  </fonts>
  <fills count="6">
    <fill>
      <patternFill patternType="none"/>
    </fill>
    <fill>
      <patternFill patternType="gray125"/>
    </fill>
    <fill>
      <patternFill patternType="solid">
        <fgColor theme="1" tint="0.34998626667073579"/>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4"/>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0" fontId="0" fillId="4" borderId="0" xfId="0" applyFill="1"/>
    <xf numFmtId="10" fontId="0" fillId="0" borderId="0" xfId="0" applyNumberFormat="1"/>
    <xf numFmtId="9" fontId="0" fillId="0" borderId="0" xfId="1" applyFont="1"/>
    <xf numFmtId="0" fontId="2" fillId="5" borderId="0" xfId="0" applyFont="1" applyFill="1" applyAlignment="1">
      <alignment horizontal="left"/>
    </xf>
    <xf numFmtId="0" fontId="0" fillId="4" borderId="0" xfId="0" applyFill="1" applyAlignment="1">
      <alignment horizontal="center" vertical="center"/>
    </xf>
    <xf numFmtId="9" fontId="0" fillId="4" borderId="0" xfId="1" applyFont="1" applyFill="1" applyAlignment="1">
      <alignment horizontal="center" vertical="center"/>
    </xf>
    <xf numFmtId="1" fontId="0" fillId="0" borderId="0" xfId="0" applyNumberFormat="1"/>
    <xf numFmtId="0" fontId="0" fillId="0" borderId="0" xfId="0" applyNumberFormat="1"/>
  </cellXfs>
  <cellStyles count="2">
    <cellStyle name="Normal" xfId="0" builtinId="0"/>
    <cellStyle name="Percent" xfId="1" builtinId="5"/>
  </cellStyles>
  <dxfs count="1622">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4" formatCode="0.00%"/>
    </dxf>
    <dxf>
      <numFmt numFmtId="2" formatCode="0.00"/>
    </dxf>
    <dxf>
      <numFmt numFmtId="1" formatCode="0"/>
    </dxf>
    <dxf>
      <numFmt numFmtId="2" formatCode="0.00"/>
    </dxf>
    <dxf>
      <numFmt numFmtId="1" formatCode="0"/>
    </dxf>
    <dxf>
      <numFmt numFmtId="1" formatCode="0"/>
    </dxf>
    <dxf>
      <numFmt numFmtId="2" formatCode="0.00"/>
    </dxf>
    <dxf>
      <font>
        <b/>
        <color theme="1"/>
      </font>
      <border>
        <bottom style="thin">
          <color theme="5"/>
        </bottom>
        <vertical/>
        <horizontal/>
      </border>
    </dxf>
    <dxf>
      <font>
        <b val="0"/>
        <i val="0"/>
        <sz val="12"/>
        <color theme="1"/>
      </font>
      <fill>
        <patternFill>
          <bgColor theme="0" tint="-4.9989318521683403E-2"/>
        </patternFill>
      </fill>
      <border diagonalUp="0" diagonalDown="0">
        <left/>
        <right/>
        <top/>
        <bottom/>
        <vertical/>
        <horizontal/>
      </border>
    </dxf>
  </dxfs>
  <tableStyles count="2" defaultTableStyle="TableStyleMedium2" defaultPivotStyle="PivotStyleLight16">
    <tableStyle name="Invisible" pivot="0" table="0" count="0" xr9:uid="{23BD9763-011A-4D4B-A95F-8E2335E34CB6}"/>
    <tableStyle name="MY STYLE" pivot="0" table="0" count="10" xr9:uid="{04111AF8-A518-4F7F-B793-828BFEDBE390}">
      <tableStyleElement type="wholeTable" dxfId="1621"/>
      <tableStyleElement type="headerRow" dxfId="1620"/>
    </tableStyle>
  </tableStyles>
  <colors>
    <mruColors>
      <color rgb="FFFFFFFF"/>
      <color rgb="FF0000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(Recovered).xlsx]Pivot-Report!PivotTable7</c:name>
    <c:fmtId val="0"/>
  </c:pivotSource>
  <c:chart>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pivotFmt>
      <c:pivotFmt>
        <c:idx val="3"/>
      </c:pivotFmt>
    </c:pivotFmts>
    <c:plotArea>
      <c:layout>
        <c:manualLayout>
          <c:layoutTarget val="inner"/>
          <c:xMode val="edge"/>
          <c:yMode val="edge"/>
          <c:x val="2.1571774682010901E-2"/>
          <c:y val="6.2792463442069735E-2"/>
          <c:w val="0.97842862033550149"/>
          <c:h val="0.93720753655793021"/>
        </c:manualLayout>
      </c:layout>
      <c:barChart>
        <c:barDir val="bar"/>
        <c:grouping val="clustered"/>
        <c:varyColors val="0"/>
        <c:ser>
          <c:idx val="0"/>
          <c:order val="0"/>
          <c:tx>
            <c:strRef>
              <c:f>'Pivot-Report'!$B$16</c:f>
              <c:strCache>
                <c:ptCount val="1"/>
                <c:pt idx="0">
                  <c:v>Count of Patient Admission Flag</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'Pivot-Report'!$A$17:$A$19</c:f>
              <c:strCache>
                <c:ptCount val="2"/>
                <c:pt idx="0">
                  <c:v>Admitted</c:v>
                </c:pt>
                <c:pt idx="1">
                  <c:v>Not Admitted</c:v>
                </c:pt>
              </c:strCache>
            </c:strRef>
          </c:cat>
          <c:val>
            <c:numRef>
              <c:f>'Pivot-Report'!$B$17:$B$19</c:f>
              <c:numCache>
                <c:formatCode>0.00</c:formatCode>
                <c:ptCount val="2"/>
                <c:pt idx="0">
                  <c:v>242</c:v>
                </c:pt>
                <c:pt idx="1">
                  <c:v>288</c:v>
                </c:pt>
              </c:numCache>
            </c:numRef>
          </c:val>
          <c:extLst>
            <c:ext xmlns:c16="http://schemas.microsoft.com/office/drawing/2014/chart" uri="{C3380CC4-5D6E-409C-BE32-E72D297353CC}">
              <c16:uniqueId val="{0000000D-C65C-45DF-9C13-53165CBD1463}"/>
            </c:ext>
          </c:extLst>
        </c:ser>
        <c:ser>
          <c:idx val="1"/>
          <c:order val="1"/>
          <c:tx>
            <c:strRef>
              <c:f>'Pivot-Report'!$C$16</c:f>
              <c:strCache>
                <c:ptCount val="1"/>
                <c:pt idx="0">
                  <c:v>Count of Patient Admission Flag2</c:v>
                </c:pt>
              </c:strCache>
            </c:strRef>
          </c:tx>
          <c:spPr>
            <a:solidFill>
              <a:schemeClr val="accent2"/>
            </a:solidFill>
            <a:ln>
              <a:noFill/>
            </a:ln>
            <a:effectLst/>
          </c:spPr>
          <c:invertIfNegative val="0"/>
          <c:cat>
            <c:strRef>
              <c:f>'Pivot-Report'!$A$17:$A$19</c:f>
              <c:strCache>
                <c:ptCount val="2"/>
                <c:pt idx="0">
                  <c:v>Admitted</c:v>
                </c:pt>
                <c:pt idx="1">
                  <c:v>Not Admitted</c:v>
                </c:pt>
              </c:strCache>
            </c:strRef>
          </c:cat>
          <c:val>
            <c:numRef>
              <c:f>'Pivot-Report'!$C$17:$C$19</c:f>
              <c:numCache>
                <c:formatCode>0.00%</c:formatCode>
                <c:ptCount val="2"/>
                <c:pt idx="0">
                  <c:v>0.45660377358490567</c:v>
                </c:pt>
                <c:pt idx="1">
                  <c:v>0.54339622641509433</c:v>
                </c:pt>
              </c:numCache>
            </c:numRef>
          </c:val>
          <c:extLst>
            <c:ext xmlns:c16="http://schemas.microsoft.com/office/drawing/2014/chart" uri="{C3380CC4-5D6E-409C-BE32-E72D297353CC}">
              <c16:uniqueId val="{0000000E-C65C-45DF-9C13-53165CBD1463}"/>
            </c:ext>
          </c:extLst>
        </c:ser>
        <c:dLbls>
          <c:showLegendKey val="0"/>
          <c:showVal val="0"/>
          <c:showCatName val="0"/>
          <c:showSerName val="0"/>
          <c:showPercent val="0"/>
          <c:showBubbleSize val="0"/>
        </c:dLbls>
        <c:gapWidth val="0"/>
        <c:axId val="1049575295"/>
        <c:axId val="1246257647"/>
      </c:barChart>
      <c:catAx>
        <c:axId val="1049575295"/>
        <c:scaling>
          <c:orientation val="minMax"/>
        </c:scaling>
        <c:delete val="1"/>
        <c:axPos val="l"/>
        <c:numFmt formatCode="General" sourceLinked="1"/>
        <c:majorTickMark val="none"/>
        <c:minorTickMark val="none"/>
        <c:tickLblPos val="nextTo"/>
        <c:crossAx val="1246257647"/>
        <c:crosses val="autoZero"/>
        <c:auto val="1"/>
        <c:lblAlgn val="ctr"/>
        <c:lblOffset val="100"/>
        <c:noMultiLvlLbl val="0"/>
      </c:catAx>
      <c:valAx>
        <c:axId val="1246257647"/>
        <c:scaling>
          <c:orientation val="minMax"/>
        </c:scaling>
        <c:delete val="1"/>
        <c:axPos val="b"/>
        <c:numFmt formatCode="0.00" sourceLinked="1"/>
        <c:majorTickMark val="none"/>
        <c:minorTickMark val="none"/>
        <c:tickLblPos val="nextTo"/>
        <c:crossAx val="1049575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(Recovered).xlsx]Pivot-Report!PivotTable5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'Pivot-Report'!$H$6</c:f>
              <c:strCache>
                <c:ptCount val="1"/>
                <c:pt idx="0">
                  <c:v>Total</c:v>
                </c:pt>
              </c:strCache>
            </c:strRef>
          </c:tx>
          <c:spPr>
            <a:solidFill>
              <a:schemeClr val="accent5">
                <a:lumMod val="50000"/>
              </a:schemeClr>
            </a:solidFill>
            <a:ln w="25400">
              <a:noFill/>
            </a:ln>
            <a:effectLst/>
          </c:spPr>
          <c:cat>
            <c:strRef>
              <c:f>'Pivot-Report'!$G$7:$G$38</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'Pivot-Report'!$H$7:$H$38</c:f>
              <c:numCache>
                <c:formatCode>General</c:formatCode>
                <c:ptCount val="31"/>
                <c:pt idx="0">
                  <c:v>28</c:v>
                </c:pt>
                <c:pt idx="1">
                  <c:v>19</c:v>
                </c:pt>
                <c:pt idx="2">
                  <c:v>14</c:v>
                </c:pt>
                <c:pt idx="3">
                  <c:v>17</c:v>
                </c:pt>
                <c:pt idx="4">
                  <c:v>19</c:v>
                </c:pt>
                <c:pt idx="5">
                  <c:v>12</c:v>
                </c:pt>
                <c:pt idx="6">
                  <c:v>10</c:v>
                </c:pt>
                <c:pt idx="7">
                  <c:v>20</c:v>
                </c:pt>
                <c:pt idx="8">
                  <c:v>12</c:v>
                </c:pt>
                <c:pt idx="9">
                  <c:v>24</c:v>
                </c:pt>
                <c:pt idx="10">
                  <c:v>16</c:v>
                </c:pt>
                <c:pt idx="11">
                  <c:v>16</c:v>
                </c:pt>
                <c:pt idx="12">
                  <c:v>14</c:v>
                </c:pt>
                <c:pt idx="13">
                  <c:v>12</c:v>
                </c:pt>
                <c:pt idx="14">
                  <c:v>18</c:v>
                </c:pt>
                <c:pt idx="15">
                  <c:v>15</c:v>
                </c:pt>
                <c:pt idx="16">
                  <c:v>25</c:v>
                </c:pt>
                <c:pt idx="17">
                  <c:v>15</c:v>
                </c:pt>
                <c:pt idx="18">
                  <c:v>19</c:v>
                </c:pt>
                <c:pt idx="19">
                  <c:v>23</c:v>
                </c:pt>
                <c:pt idx="20">
                  <c:v>10</c:v>
                </c:pt>
                <c:pt idx="21">
                  <c:v>14</c:v>
                </c:pt>
                <c:pt idx="22">
                  <c:v>16</c:v>
                </c:pt>
                <c:pt idx="23">
                  <c:v>18</c:v>
                </c:pt>
                <c:pt idx="24">
                  <c:v>22</c:v>
                </c:pt>
                <c:pt idx="25">
                  <c:v>14</c:v>
                </c:pt>
                <c:pt idx="26">
                  <c:v>15</c:v>
                </c:pt>
                <c:pt idx="27">
                  <c:v>21</c:v>
                </c:pt>
                <c:pt idx="28">
                  <c:v>17</c:v>
                </c:pt>
                <c:pt idx="29">
                  <c:v>16</c:v>
                </c:pt>
                <c:pt idx="30">
                  <c:v>19</c:v>
                </c:pt>
              </c:numCache>
            </c:numRef>
          </c:val>
          <c:extLst>
            <c:ext xmlns:c16="http://schemas.microsoft.com/office/drawing/2014/chart" uri="{C3380CC4-5D6E-409C-BE32-E72D297353CC}">
              <c16:uniqueId val="{00000007-2EF4-4CBD-8F41-AB21F69E793F}"/>
            </c:ext>
          </c:extLst>
        </c:ser>
        <c:dLbls>
          <c:showLegendKey val="0"/>
          <c:showVal val="0"/>
          <c:showCatName val="0"/>
          <c:showSerName val="0"/>
          <c:showPercent val="0"/>
          <c:showBubbleSize val="0"/>
        </c:dLbls>
        <c:axId val="1662132239"/>
        <c:axId val="1455066063"/>
      </c:areaChart>
      <c:catAx>
        <c:axId val="1662132239"/>
        <c:scaling>
          <c:orientation val="minMax"/>
        </c:scaling>
        <c:delete val="1"/>
        <c:axPos val="b"/>
        <c:numFmt formatCode="General" sourceLinked="1"/>
        <c:majorTickMark val="out"/>
        <c:minorTickMark val="none"/>
        <c:tickLblPos val="nextTo"/>
        <c:crossAx val="1455066063"/>
        <c:crosses val="autoZero"/>
        <c:auto val="1"/>
        <c:lblAlgn val="ctr"/>
        <c:lblOffset val="100"/>
        <c:noMultiLvlLbl val="0"/>
      </c:catAx>
      <c:valAx>
        <c:axId val="1455066063"/>
        <c:scaling>
          <c:orientation val="minMax"/>
        </c:scaling>
        <c:delete val="1"/>
        <c:axPos val="l"/>
        <c:numFmt formatCode="General" sourceLinked="1"/>
        <c:majorTickMark val="none"/>
        <c:minorTickMark val="none"/>
        <c:tickLblPos val="nextTo"/>
        <c:crossAx val="166213223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(Recovered).xlsx]Pivot-Report!PivotTable6</c:name>
    <c:fmtId val="19"/>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5">
              <a:lumMod val="50000"/>
            </a:schemeClr>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5">
              <a:lumMod val="50000"/>
            </a:schemeClr>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5">
              <a:lumMod val="50000"/>
            </a:schemeClr>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5">
              <a:lumMod val="50000"/>
            </a:schemeClr>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5">
              <a:lumMod val="50000"/>
            </a:schemeClr>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5">
              <a:lumMod val="50000"/>
            </a:schemeClr>
          </a:solidFill>
          <a:ln w="25400">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
          <c:y val="0.1683499556191134"/>
          <c:w val="0.99633450022334058"/>
          <c:h val="0.83165004438088663"/>
        </c:manualLayout>
      </c:layout>
      <c:areaChart>
        <c:grouping val="standard"/>
        <c:varyColors val="0"/>
        <c:ser>
          <c:idx val="0"/>
          <c:order val="0"/>
          <c:tx>
            <c:strRef>
              <c:f>'Pivot-Report'!$K$6</c:f>
              <c:strCache>
                <c:ptCount val="1"/>
                <c:pt idx="0">
                  <c:v>Total</c:v>
                </c:pt>
              </c:strCache>
            </c:strRef>
          </c:tx>
          <c:spPr>
            <a:solidFill>
              <a:schemeClr val="accent5">
                <a:lumMod val="50000"/>
              </a:schemeClr>
            </a:solidFill>
            <a:ln w="25400">
              <a:noFill/>
            </a:ln>
            <a:effectLst/>
          </c:spPr>
          <c:cat>
            <c:strRef>
              <c:f>'Pivot-Report'!$J$7:$J$38</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'Pivot-Report'!$K$7:$K$38</c:f>
              <c:numCache>
                <c:formatCode>0.00</c:formatCode>
                <c:ptCount val="31"/>
                <c:pt idx="0">
                  <c:v>35.285714285714285</c:v>
                </c:pt>
                <c:pt idx="1">
                  <c:v>31.842105263157894</c:v>
                </c:pt>
                <c:pt idx="2">
                  <c:v>34.714285714285715</c:v>
                </c:pt>
                <c:pt idx="3">
                  <c:v>42.823529411764703</c:v>
                </c:pt>
                <c:pt idx="4">
                  <c:v>32.157894736842103</c:v>
                </c:pt>
                <c:pt idx="5">
                  <c:v>34.833333333333336</c:v>
                </c:pt>
                <c:pt idx="6">
                  <c:v>33.4</c:v>
                </c:pt>
                <c:pt idx="7">
                  <c:v>28.15</c:v>
                </c:pt>
                <c:pt idx="8">
                  <c:v>31.333333333333332</c:v>
                </c:pt>
                <c:pt idx="9">
                  <c:v>37.375</c:v>
                </c:pt>
                <c:pt idx="10">
                  <c:v>36.0625</c:v>
                </c:pt>
                <c:pt idx="11">
                  <c:v>40.5</c:v>
                </c:pt>
                <c:pt idx="12">
                  <c:v>39.571428571428569</c:v>
                </c:pt>
                <c:pt idx="13">
                  <c:v>30.25</c:v>
                </c:pt>
                <c:pt idx="14">
                  <c:v>39.722222222222221</c:v>
                </c:pt>
                <c:pt idx="15">
                  <c:v>38.133333333333333</c:v>
                </c:pt>
                <c:pt idx="16">
                  <c:v>34.08</c:v>
                </c:pt>
                <c:pt idx="17">
                  <c:v>30.066666666666666</c:v>
                </c:pt>
                <c:pt idx="18">
                  <c:v>33.263157894736842</c:v>
                </c:pt>
                <c:pt idx="19">
                  <c:v>38.565217391304351</c:v>
                </c:pt>
                <c:pt idx="20">
                  <c:v>28.6</c:v>
                </c:pt>
                <c:pt idx="21">
                  <c:v>36.285714285714285</c:v>
                </c:pt>
                <c:pt idx="22">
                  <c:v>40.375</c:v>
                </c:pt>
                <c:pt idx="23">
                  <c:v>34.666666666666664</c:v>
                </c:pt>
                <c:pt idx="24">
                  <c:v>34.863636363636367</c:v>
                </c:pt>
                <c:pt idx="25">
                  <c:v>30.928571428571427</c:v>
                </c:pt>
                <c:pt idx="26">
                  <c:v>35.6</c:v>
                </c:pt>
                <c:pt idx="27">
                  <c:v>34.952380952380949</c:v>
                </c:pt>
                <c:pt idx="28">
                  <c:v>34.411764705882355</c:v>
                </c:pt>
                <c:pt idx="29">
                  <c:v>34</c:v>
                </c:pt>
                <c:pt idx="30">
                  <c:v>36.421052631578945</c:v>
                </c:pt>
              </c:numCache>
            </c:numRef>
          </c:val>
          <c:extLst>
            <c:ext xmlns:c16="http://schemas.microsoft.com/office/drawing/2014/chart" uri="{C3380CC4-5D6E-409C-BE32-E72D297353CC}">
              <c16:uniqueId val="{00000007-C933-454C-9A16-E19AB5B3F31B}"/>
            </c:ext>
          </c:extLst>
        </c:ser>
        <c:dLbls>
          <c:showLegendKey val="0"/>
          <c:showVal val="0"/>
          <c:showCatName val="0"/>
          <c:showSerName val="0"/>
          <c:showPercent val="0"/>
          <c:showBubbleSize val="0"/>
        </c:dLbls>
        <c:axId val="1662112751"/>
        <c:axId val="1982966895"/>
      </c:areaChart>
      <c:catAx>
        <c:axId val="1662112751"/>
        <c:scaling>
          <c:orientation val="minMax"/>
        </c:scaling>
        <c:delete val="1"/>
        <c:axPos val="b"/>
        <c:numFmt formatCode="General" sourceLinked="1"/>
        <c:majorTickMark val="out"/>
        <c:minorTickMark val="none"/>
        <c:tickLblPos val="nextTo"/>
        <c:crossAx val="1982966895"/>
        <c:crosses val="autoZero"/>
        <c:auto val="1"/>
        <c:lblAlgn val="ctr"/>
        <c:lblOffset val="100"/>
        <c:noMultiLvlLbl val="0"/>
      </c:catAx>
      <c:valAx>
        <c:axId val="1982966895"/>
        <c:scaling>
          <c:orientation val="minMax"/>
        </c:scaling>
        <c:delete val="1"/>
        <c:axPos val="l"/>
        <c:numFmt formatCode="0.00" sourceLinked="1"/>
        <c:majorTickMark val="none"/>
        <c:minorTickMark val="none"/>
        <c:tickLblPos val="nextTo"/>
        <c:crossAx val="1662112751"/>
        <c:crosses val="autoZero"/>
        <c:crossBetween val="midCat"/>
      </c:valAx>
    </c:plotArea>
    <c:plotVisOnly val="1"/>
    <c:dispBlanksAs val="zero"/>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(Recovered).xlsx]Pivot-Report!PivotTable4</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5.0925925925925923E-2"/>
          <c:w val="1"/>
          <c:h val="0.94907407407407407"/>
        </c:manualLayout>
      </c:layout>
      <c:areaChart>
        <c:grouping val="standard"/>
        <c:varyColors val="0"/>
        <c:ser>
          <c:idx val="0"/>
          <c:order val="0"/>
          <c:tx>
            <c:strRef>
              <c:f>'Pivot-Report'!$N$5</c:f>
              <c:strCache>
                <c:ptCount val="1"/>
                <c:pt idx="0">
                  <c:v>Total</c:v>
                </c:pt>
              </c:strCache>
            </c:strRef>
          </c:tx>
          <c:spPr>
            <a:solidFill>
              <a:schemeClr val="accent5">
                <a:lumMod val="50000"/>
              </a:schemeClr>
            </a:solidFill>
            <a:ln w="25400">
              <a:noFill/>
            </a:ln>
            <a:effectLst/>
          </c:spPr>
          <c:cat>
            <c:strRef>
              <c:f>'Pivot-Report'!$M$6:$M$36</c:f>
              <c:strCache>
                <c:ptCount val="30"/>
                <c:pt idx="0">
                  <c:v>1-Aug</c:v>
                </c:pt>
                <c:pt idx="1">
                  <c:v>2-Aug</c:v>
                </c:pt>
                <c:pt idx="2">
                  <c:v>3-Aug</c:v>
                </c:pt>
                <c:pt idx="3">
                  <c:v>4-Aug</c:v>
                </c:pt>
                <c:pt idx="4">
                  <c:v>5-Aug</c:v>
                </c:pt>
                <c:pt idx="5">
                  <c:v>6-Aug</c:v>
                </c:pt>
                <c:pt idx="6">
                  <c:v>8-Aug</c:v>
                </c:pt>
                <c:pt idx="7">
                  <c:v>9-Aug</c:v>
                </c:pt>
                <c:pt idx="8">
                  <c:v>10-Aug</c:v>
                </c:pt>
                <c:pt idx="9">
                  <c:v>11-Aug</c:v>
                </c:pt>
                <c:pt idx="10">
                  <c:v>12-Aug</c:v>
                </c:pt>
                <c:pt idx="11">
                  <c:v>13-Aug</c:v>
                </c:pt>
                <c:pt idx="12">
                  <c:v>14-Aug</c:v>
                </c:pt>
                <c:pt idx="13">
                  <c:v>15-Aug</c:v>
                </c:pt>
                <c:pt idx="14">
                  <c:v>16-Aug</c:v>
                </c:pt>
                <c:pt idx="15">
                  <c:v>17-Aug</c:v>
                </c:pt>
                <c:pt idx="16">
                  <c:v>18-Aug</c:v>
                </c:pt>
                <c:pt idx="17">
                  <c:v>19-Aug</c:v>
                </c:pt>
                <c:pt idx="18">
                  <c:v>20-Aug</c:v>
                </c:pt>
                <c:pt idx="19">
                  <c:v>21-Aug</c:v>
                </c:pt>
                <c:pt idx="20">
                  <c:v>22-Aug</c:v>
                </c:pt>
                <c:pt idx="21">
                  <c:v>23-Aug</c:v>
                </c:pt>
                <c:pt idx="22">
                  <c:v>24-Aug</c:v>
                </c:pt>
                <c:pt idx="23">
                  <c:v>25-Aug</c:v>
                </c:pt>
                <c:pt idx="24">
                  <c:v>26-Aug</c:v>
                </c:pt>
                <c:pt idx="25">
                  <c:v>27-Aug</c:v>
                </c:pt>
                <c:pt idx="26">
                  <c:v>28-Aug</c:v>
                </c:pt>
                <c:pt idx="27">
                  <c:v>29-Aug</c:v>
                </c:pt>
                <c:pt idx="28">
                  <c:v>30-Aug</c:v>
                </c:pt>
                <c:pt idx="29">
                  <c:v>31-Aug</c:v>
                </c:pt>
              </c:strCache>
            </c:strRef>
          </c:cat>
          <c:val>
            <c:numRef>
              <c:f>'Pivot-Report'!$N$6:$N$36</c:f>
              <c:numCache>
                <c:formatCode>0.00</c:formatCode>
                <c:ptCount val="30"/>
                <c:pt idx="0">
                  <c:v>4.5</c:v>
                </c:pt>
                <c:pt idx="1">
                  <c:v>4.666666666666667</c:v>
                </c:pt>
                <c:pt idx="2">
                  <c:v>7.4</c:v>
                </c:pt>
                <c:pt idx="3">
                  <c:v>4.5</c:v>
                </c:pt>
                <c:pt idx="4">
                  <c:v>4.8</c:v>
                </c:pt>
                <c:pt idx="5">
                  <c:v>4.75</c:v>
                </c:pt>
                <c:pt idx="6">
                  <c:v>2.25</c:v>
                </c:pt>
                <c:pt idx="7">
                  <c:v>4</c:v>
                </c:pt>
                <c:pt idx="8">
                  <c:v>6.666666666666667</c:v>
                </c:pt>
                <c:pt idx="9">
                  <c:v>2.6666666666666665</c:v>
                </c:pt>
                <c:pt idx="10">
                  <c:v>3.6666666666666665</c:v>
                </c:pt>
                <c:pt idx="11">
                  <c:v>4</c:v>
                </c:pt>
                <c:pt idx="12">
                  <c:v>7.5</c:v>
                </c:pt>
                <c:pt idx="13">
                  <c:v>5.5</c:v>
                </c:pt>
                <c:pt idx="14">
                  <c:v>7.5</c:v>
                </c:pt>
                <c:pt idx="15">
                  <c:v>5</c:v>
                </c:pt>
                <c:pt idx="16">
                  <c:v>3.5</c:v>
                </c:pt>
                <c:pt idx="17">
                  <c:v>6.5</c:v>
                </c:pt>
                <c:pt idx="18">
                  <c:v>5.833333333333333</c:v>
                </c:pt>
                <c:pt idx="19">
                  <c:v>4.5</c:v>
                </c:pt>
                <c:pt idx="20">
                  <c:v>3.75</c:v>
                </c:pt>
                <c:pt idx="21">
                  <c:v>10</c:v>
                </c:pt>
                <c:pt idx="22">
                  <c:v>4</c:v>
                </c:pt>
                <c:pt idx="23">
                  <c:v>8.3333333333333339</c:v>
                </c:pt>
                <c:pt idx="24">
                  <c:v>3.25</c:v>
                </c:pt>
                <c:pt idx="25">
                  <c:v>6</c:v>
                </c:pt>
                <c:pt idx="26">
                  <c:v>6</c:v>
                </c:pt>
                <c:pt idx="27">
                  <c:v>3.3333333333333335</c:v>
                </c:pt>
                <c:pt idx="28">
                  <c:v>6.666666666666667</c:v>
                </c:pt>
                <c:pt idx="29">
                  <c:v>5.625</c:v>
                </c:pt>
              </c:numCache>
            </c:numRef>
          </c:val>
          <c:extLst>
            <c:ext xmlns:c16="http://schemas.microsoft.com/office/drawing/2014/chart" uri="{C3380CC4-5D6E-409C-BE32-E72D297353CC}">
              <c16:uniqueId val="{00000007-B4AA-4F3F-A59F-276E4930A4A3}"/>
            </c:ext>
          </c:extLst>
        </c:ser>
        <c:dLbls>
          <c:showLegendKey val="0"/>
          <c:showVal val="0"/>
          <c:showCatName val="0"/>
          <c:showSerName val="0"/>
          <c:showPercent val="0"/>
          <c:showBubbleSize val="0"/>
        </c:dLbls>
        <c:axId val="1387123647"/>
        <c:axId val="546638191"/>
      </c:areaChart>
      <c:catAx>
        <c:axId val="1387123647"/>
        <c:scaling>
          <c:orientation val="minMax"/>
        </c:scaling>
        <c:delete val="1"/>
        <c:axPos val="b"/>
        <c:numFmt formatCode="General" sourceLinked="1"/>
        <c:majorTickMark val="out"/>
        <c:minorTickMark val="none"/>
        <c:tickLblPos val="nextTo"/>
        <c:crossAx val="546638191"/>
        <c:crosses val="autoZero"/>
        <c:auto val="1"/>
        <c:lblAlgn val="ctr"/>
        <c:lblOffset val="100"/>
        <c:noMultiLvlLbl val="0"/>
      </c:catAx>
      <c:valAx>
        <c:axId val="546638191"/>
        <c:scaling>
          <c:orientation val="minMax"/>
        </c:scaling>
        <c:delete val="1"/>
        <c:axPos val="l"/>
        <c:numFmt formatCode="0.00" sourceLinked="1"/>
        <c:majorTickMark val="none"/>
        <c:minorTickMark val="none"/>
        <c:tickLblPos val="nextTo"/>
        <c:crossAx val="13871236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(Recovered).xlsx]Pivot-Report!PivotTable8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7777777777779E-3"/>
          <c:y val="2.1020399718624572E-2"/>
          <c:w val="0.99722222222222223"/>
          <c:h val="0.69643811809492284"/>
        </c:manualLayout>
      </c:layout>
      <c:barChart>
        <c:barDir val="col"/>
        <c:grouping val="clustered"/>
        <c:varyColors val="0"/>
        <c:ser>
          <c:idx val="0"/>
          <c:order val="0"/>
          <c:tx>
            <c:strRef>
              <c:f>'Pivot-Report'!$B$25</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'Pivot-Report'!$A$26:$A$34</c:f>
              <c:strCache>
                <c:ptCount val="8"/>
                <c:pt idx="0">
                  <c:v>0-09</c:v>
                </c:pt>
                <c:pt idx="1">
                  <c:v>10-19</c:v>
                </c:pt>
                <c:pt idx="2">
                  <c:v>20-29</c:v>
                </c:pt>
                <c:pt idx="3">
                  <c:v>30-39</c:v>
                </c:pt>
                <c:pt idx="4">
                  <c:v>40-49</c:v>
                </c:pt>
                <c:pt idx="5">
                  <c:v>50-59</c:v>
                </c:pt>
                <c:pt idx="6">
                  <c:v>60-69</c:v>
                </c:pt>
                <c:pt idx="7">
                  <c:v>70-79</c:v>
                </c:pt>
              </c:strCache>
            </c:strRef>
          </c:cat>
          <c:val>
            <c:numRef>
              <c:f>'Pivot-Report'!$B$26:$B$34</c:f>
              <c:numCache>
                <c:formatCode>0</c:formatCode>
                <c:ptCount val="8"/>
                <c:pt idx="0">
                  <c:v>63</c:v>
                </c:pt>
                <c:pt idx="1">
                  <c:v>63</c:v>
                </c:pt>
                <c:pt idx="2">
                  <c:v>65</c:v>
                </c:pt>
                <c:pt idx="3">
                  <c:v>60</c:v>
                </c:pt>
                <c:pt idx="4">
                  <c:v>65</c:v>
                </c:pt>
                <c:pt idx="5">
                  <c:v>72</c:v>
                </c:pt>
                <c:pt idx="6">
                  <c:v>73</c:v>
                </c:pt>
                <c:pt idx="7">
                  <c:v>69</c:v>
                </c:pt>
              </c:numCache>
            </c:numRef>
          </c:val>
          <c:extLst>
            <c:ext xmlns:c16="http://schemas.microsoft.com/office/drawing/2014/chart" uri="{C3380CC4-5D6E-409C-BE32-E72D297353CC}">
              <c16:uniqueId val="{00000007-51FE-4F21-957A-133520FC9D80}"/>
            </c:ext>
          </c:extLst>
        </c:ser>
        <c:dLbls>
          <c:dLblPos val="outEnd"/>
          <c:showLegendKey val="0"/>
          <c:showVal val="1"/>
          <c:showCatName val="0"/>
          <c:showSerName val="0"/>
          <c:showPercent val="0"/>
          <c:showBubbleSize val="0"/>
        </c:dLbls>
        <c:gapWidth val="219"/>
        <c:overlap val="-27"/>
        <c:axId val="1387138959"/>
        <c:axId val="1246130927"/>
      </c:barChart>
      <c:catAx>
        <c:axId val="1387138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46130927"/>
        <c:crosses val="autoZero"/>
        <c:auto val="1"/>
        <c:lblAlgn val="ctr"/>
        <c:lblOffset val="100"/>
        <c:noMultiLvlLbl val="0"/>
      </c:catAx>
      <c:valAx>
        <c:axId val="1246130927"/>
        <c:scaling>
          <c:orientation val="minMax"/>
        </c:scaling>
        <c:delete val="1"/>
        <c:axPos val="l"/>
        <c:numFmt formatCode="0" sourceLinked="1"/>
        <c:majorTickMark val="none"/>
        <c:minorTickMark val="none"/>
        <c:tickLblPos val="nextTo"/>
        <c:crossAx val="138713895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(Recovered).xlsx]Pivot-Report!PivotTable9</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5">
              <a:lumMod val="50000"/>
            </a:schemeClr>
          </a:solidFill>
          <a:ln>
            <a:noFill/>
          </a:ln>
          <a:effectLst/>
        </c:spPr>
        <c:marker>
          <c:spPr>
            <a:solidFill>
              <a:schemeClr val="accent1"/>
            </a:solidFill>
            <a:ln w="9525">
              <a:solidFill>
                <a:schemeClr val="lt1"/>
              </a:solidFill>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spPr>
          <a:solidFill>
            <a:schemeClr val="accent2"/>
          </a:solidFill>
          <a:ln>
            <a:noFill/>
          </a:ln>
          <a:effectLst/>
        </c:spPr>
      </c:pivotFmt>
      <c:pivotFmt>
        <c:idx val="7"/>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5">
              <a:lumMod val="50000"/>
            </a:schemeClr>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5986695616552363"/>
          <c:y val="0.15133663074507914"/>
          <c:w val="0.66794895910247198"/>
          <c:h val="0.69732636303594675"/>
        </c:manualLayout>
      </c:layout>
      <c:pieChart>
        <c:varyColors val="1"/>
        <c:ser>
          <c:idx val="0"/>
          <c:order val="0"/>
          <c:tx>
            <c:strRef>
              <c:f>'Pivot-Report'!$B$45</c:f>
              <c:strCache>
                <c:ptCount val="1"/>
                <c:pt idx="0">
                  <c:v>Total</c:v>
                </c:pt>
              </c:strCache>
            </c:strRef>
          </c:tx>
          <c:spPr>
            <a:solidFill>
              <a:schemeClr val="accent2"/>
            </a:solidFill>
          </c:spPr>
          <c:dPt>
            <c:idx val="0"/>
            <c:bubble3D val="0"/>
            <c:spPr>
              <a:solidFill>
                <a:schemeClr val="accent5">
                  <a:lumMod val="50000"/>
                </a:schemeClr>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'Pivot-Report'!$A$46:$A$48</c:f>
              <c:strCache>
                <c:ptCount val="2"/>
                <c:pt idx="0">
                  <c:v>Female</c:v>
                </c:pt>
                <c:pt idx="1">
                  <c:v>Male</c:v>
                </c:pt>
              </c:strCache>
            </c:strRef>
          </c:cat>
          <c:val>
            <c:numRef>
              <c:f>'Pivot-Report'!$B$46:$B$48</c:f>
              <c:numCache>
                <c:formatCode>0</c:formatCode>
                <c:ptCount val="2"/>
                <c:pt idx="0">
                  <c:v>259</c:v>
                </c:pt>
                <c:pt idx="1">
                  <c:v>271</c:v>
                </c:pt>
              </c:numCache>
            </c:numRef>
          </c:val>
          <c:extLst>
            <c:ext xmlns:c16="http://schemas.microsoft.com/office/drawing/2014/chart" uri="{C3380CC4-5D6E-409C-BE32-E72D297353CC}">
              <c16:uniqueId val="{0000000B-EFC7-474D-8C18-572DBC0553A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6550995401082635"/>
          <c:y val="5.2078229235073322E-3"/>
          <c:w val="0.70793771177761988"/>
          <c:h val="0.1135834095545085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(Recovered).xlsx]Pivot-Report!PivotTable9</c:name>
    <c:fmtId val="11"/>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5">
              <a:lumMod val="50000"/>
            </a:schemeClr>
          </a:solidFill>
          <a:ln>
            <a:noFill/>
          </a:ln>
          <a:effectLst/>
        </c:spPr>
      </c:pivotFmt>
      <c:pivotFmt>
        <c:idx val="6"/>
        <c:spPr>
          <a:solidFill>
            <a:schemeClr val="accent1"/>
          </a:solidFill>
          <a:ln>
            <a:noFill/>
          </a:ln>
          <a:effectLst/>
        </c:spPr>
      </c:pivotFmt>
    </c:pivotFmts>
    <c:plotArea>
      <c:layout>
        <c:manualLayout>
          <c:layoutTarget val="inner"/>
          <c:xMode val="edge"/>
          <c:yMode val="edge"/>
          <c:x val="0.1541014806584429"/>
          <c:y val="0.13125118649688447"/>
          <c:w val="0.65897546113440553"/>
          <c:h val="0.73219473688004788"/>
        </c:manualLayout>
      </c:layout>
      <c:doughnutChart>
        <c:varyColors val="1"/>
        <c:ser>
          <c:idx val="0"/>
          <c:order val="0"/>
          <c:tx>
            <c:strRef>
              <c:f>'Pivot-Report'!$B$45</c:f>
              <c:strCache>
                <c:ptCount val="1"/>
                <c:pt idx="0">
                  <c:v>Total</c:v>
                </c:pt>
              </c:strCache>
            </c:strRef>
          </c:tx>
          <c:spPr>
            <a:solidFill>
              <a:schemeClr val="accent2"/>
            </a:solidFill>
            <a:effectLst/>
          </c:spPr>
          <c:dPt>
            <c:idx val="0"/>
            <c:bubble3D val="0"/>
            <c:spPr>
              <a:solidFill>
                <a:schemeClr val="accent5">
                  <a:lumMod val="50000"/>
                </a:schemeClr>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'Pivot-Report'!$A$46:$A$48</c:f>
              <c:strCache>
                <c:ptCount val="2"/>
                <c:pt idx="0">
                  <c:v>Female</c:v>
                </c:pt>
                <c:pt idx="1">
                  <c:v>Male</c:v>
                </c:pt>
              </c:strCache>
            </c:strRef>
          </c:cat>
          <c:val>
            <c:numRef>
              <c:f>'Pivot-Report'!$B$46:$B$48</c:f>
              <c:numCache>
                <c:formatCode>0</c:formatCode>
                <c:ptCount val="2"/>
                <c:pt idx="0">
                  <c:v>259</c:v>
                </c:pt>
                <c:pt idx="1">
                  <c:v>271</c:v>
                </c:pt>
              </c:numCache>
            </c:numRef>
          </c:val>
          <c:extLst>
            <c:ext xmlns:c16="http://schemas.microsoft.com/office/drawing/2014/chart" uri="{C3380CC4-5D6E-409C-BE32-E72D297353CC}">
              <c16:uniqueId val="{0000000B-B667-451F-A4D5-2B51AF832746}"/>
            </c:ext>
          </c:extLst>
        </c:ser>
        <c:dLbls>
          <c:showLegendKey val="0"/>
          <c:showVal val="0"/>
          <c:showCatName val="0"/>
          <c:showSerName val="0"/>
          <c:showPercent val="1"/>
          <c:showBubbleSize val="0"/>
          <c:showLeaderLines val="1"/>
        </c:dLbls>
        <c:firstSliceAng val="0"/>
        <c:holeSize val="40"/>
      </c:doughnutChart>
      <c:spPr>
        <a:noFill/>
        <a:ln>
          <a:noFill/>
        </a:ln>
        <a:effectLst/>
      </c:spPr>
    </c:plotArea>
    <c:legend>
      <c:legendPos val="r"/>
      <c:layout>
        <c:manualLayout>
          <c:xMode val="edge"/>
          <c:yMode val="edge"/>
          <c:x val="0.18944813150561671"/>
          <c:y val="4.1491341096965345E-3"/>
          <c:w val="0.59064308105200825"/>
          <c:h val="9.9691813103637006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(Recovered).xlsx]Pivot-Report!PivotTable11</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11737442561672"/>
          <c:y val="1.5160875391332635E-2"/>
          <c:w val="0.78298846418672741"/>
          <c:h val="0.84688829001441479"/>
        </c:manualLayout>
      </c:layout>
      <c:barChart>
        <c:barDir val="bar"/>
        <c:grouping val="clustered"/>
        <c:varyColors val="0"/>
        <c:ser>
          <c:idx val="0"/>
          <c:order val="0"/>
          <c:tx>
            <c:strRef>
              <c:f>'Pivot-Report'!$B$51</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'Pivot-Report'!$A$52:$A$60</c:f>
              <c:strCache>
                <c:ptCount val="8"/>
                <c:pt idx="0">
                  <c:v>Renal</c:v>
                </c:pt>
                <c:pt idx="1">
                  <c:v>Gastroenterology</c:v>
                </c:pt>
                <c:pt idx="2">
                  <c:v>Cardiology</c:v>
                </c:pt>
                <c:pt idx="3">
                  <c:v>Neurology</c:v>
                </c:pt>
                <c:pt idx="4">
                  <c:v>Physiotherapy</c:v>
                </c:pt>
                <c:pt idx="5">
                  <c:v>Orthopedics</c:v>
                </c:pt>
                <c:pt idx="6">
                  <c:v>General Practice</c:v>
                </c:pt>
                <c:pt idx="7">
                  <c:v>None</c:v>
                </c:pt>
              </c:strCache>
            </c:strRef>
          </c:cat>
          <c:val>
            <c:numRef>
              <c:f>'Pivot-Report'!$B$52:$B$60</c:f>
              <c:numCache>
                <c:formatCode>0</c:formatCode>
                <c:ptCount val="8"/>
                <c:pt idx="0">
                  <c:v>7</c:v>
                </c:pt>
                <c:pt idx="1">
                  <c:v>10</c:v>
                </c:pt>
                <c:pt idx="2">
                  <c:v>12</c:v>
                </c:pt>
                <c:pt idx="3">
                  <c:v>14</c:v>
                </c:pt>
                <c:pt idx="4">
                  <c:v>18</c:v>
                </c:pt>
                <c:pt idx="5">
                  <c:v>53</c:v>
                </c:pt>
                <c:pt idx="6">
                  <c:v>109</c:v>
                </c:pt>
                <c:pt idx="7">
                  <c:v>307</c:v>
                </c:pt>
              </c:numCache>
            </c:numRef>
          </c:val>
          <c:extLst>
            <c:ext xmlns:c16="http://schemas.microsoft.com/office/drawing/2014/chart" uri="{C3380CC4-5D6E-409C-BE32-E72D297353CC}">
              <c16:uniqueId val="{00000007-E1AD-43EC-948A-8CC9E727D507}"/>
            </c:ext>
          </c:extLst>
        </c:ser>
        <c:dLbls>
          <c:showLegendKey val="0"/>
          <c:showVal val="0"/>
          <c:showCatName val="0"/>
          <c:showSerName val="0"/>
          <c:showPercent val="0"/>
          <c:showBubbleSize val="0"/>
        </c:dLbls>
        <c:gapWidth val="30"/>
        <c:axId val="1146657263"/>
        <c:axId val="1246158287"/>
      </c:barChart>
      <c:catAx>
        <c:axId val="1146657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crossAx val="1246158287"/>
        <c:crosses val="autoZero"/>
        <c:auto val="1"/>
        <c:lblAlgn val="ctr"/>
        <c:lblOffset val="100"/>
        <c:noMultiLvlLbl val="0"/>
      </c:catAx>
      <c:valAx>
        <c:axId val="1246158287"/>
        <c:scaling>
          <c:orientation val="minMax"/>
        </c:scaling>
        <c:delete val="1"/>
        <c:axPos val="b"/>
        <c:numFmt formatCode="0" sourceLinked="1"/>
        <c:majorTickMark val="none"/>
        <c:minorTickMark val="none"/>
        <c:tickLblPos val="nextTo"/>
        <c:crossAx val="1146657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(Recovered).xlsx]Pivot-Report!PivotTable5</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8.9552238805970144E-2"/>
          <c:w val="0.95028069516645741"/>
          <c:h val="0.91044776119402981"/>
        </c:manualLayout>
      </c:layout>
      <c:areaChart>
        <c:grouping val="standard"/>
        <c:varyColors val="0"/>
        <c:ser>
          <c:idx val="0"/>
          <c:order val="0"/>
          <c:tx>
            <c:strRef>
              <c:f>'Pivot-Report'!$H$6</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'Pivot-Report'!$G$7:$G$38</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'Pivot-Report'!$H$7:$H$38</c:f>
              <c:numCache>
                <c:formatCode>General</c:formatCode>
                <c:ptCount val="31"/>
                <c:pt idx="0">
                  <c:v>28</c:v>
                </c:pt>
                <c:pt idx="1">
                  <c:v>19</c:v>
                </c:pt>
                <c:pt idx="2">
                  <c:v>14</c:v>
                </c:pt>
                <c:pt idx="3">
                  <c:v>17</c:v>
                </c:pt>
                <c:pt idx="4">
                  <c:v>19</c:v>
                </c:pt>
                <c:pt idx="5">
                  <c:v>12</c:v>
                </c:pt>
                <c:pt idx="6">
                  <c:v>10</c:v>
                </c:pt>
                <c:pt idx="7">
                  <c:v>20</c:v>
                </c:pt>
                <c:pt idx="8">
                  <c:v>12</c:v>
                </c:pt>
                <c:pt idx="9">
                  <c:v>24</c:v>
                </c:pt>
                <c:pt idx="10">
                  <c:v>16</c:v>
                </c:pt>
                <c:pt idx="11">
                  <c:v>16</c:v>
                </c:pt>
                <c:pt idx="12">
                  <c:v>14</c:v>
                </c:pt>
                <c:pt idx="13">
                  <c:v>12</c:v>
                </c:pt>
                <c:pt idx="14">
                  <c:v>18</c:v>
                </c:pt>
                <c:pt idx="15">
                  <c:v>15</c:v>
                </c:pt>
                <c:pt idx="16">
                  <c:v>25</c:v>
                </c:pt>
                <c:pt idx="17">
                  <c:v>15</c:v>
                </c:pt>
                <c:pt idx="18">
                  <c:v>19</c:v>
                </c:pt>
                <c:pt idx="19">
                  <c:v>23</c:v>
                </c:pt>
                <c:pt idx="20">
                  <c:v>10</c:v>
                </c:pt>
                <c:pt idx="21">
                  <c:v>14</c:v>
                </c:pt>
                <c:pt idx="22">
                  <c:v>16</c:v>
                </c:pt>
                <c:pt idx="23">
                  <c:v>18</c:v>
                </c:pt>
                <c:pt idx="24">
                  <c:v>22</c:v>
                </c:pt>
                <c:pt idx="25">
                  <c:v>14</c:v>
                </c:pt>
                <c:pt idx="26">
                  <c:v>15</c:v>
                </c:pt>
                <c:pt idx="27">
                  <c:v>21</c:v>
                </c:pt>
                <c:pt idx="28">
                  <c:v>17</c:v>
                </c:pt>
                <c:pt idx="29">
                  <c:v>16</c:v>
                </c:pt>
                <c:pt idx="30">
                  <c:v>19</c:v>
                </c:pt>
              </c:numCache>
            </c:numRef>
          </c:val>
          <c:extLst>
            <c:ext xmlns:c16="http://schemas.microsoft.com/office/drawing/2014/chart" uri="{C3380CC4-5D6E-409C-BE32-E72D297353CC}">
              <c16:uniqueId val="{00000007-E707-4FB0-826A-D41C4C738FA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662132239"/>
        <c:axId val="1455066063"/>
      </c:areaChart>
      <c:catAx>
        <c:axId val="1662132239"/>
        <c:scaling>
          <c:orientation val="minMax"/>
        </c:scaling>
        <c:delete val="0"/>
        <c:axPos val="b"/>
        <c:numFmt formatCode="General" sourceLinked="1"/>
        <c:majorTickMark val="out"/>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55066063"/>
        <c:crosses val="autoZero"/>
        <c:auto val="1"/>
        <c:lblAlgn val="ctr"/>
        <c:lblOffset val="100"/>
        <c:noMultiLvlLbl val="0"/>
      </c:catAx>
      <c:valAx>
        <c:axId val="145506606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6213223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(Recovered).xlsx]Pivot-Report!PivotTable6</c:name>
    <c:fmtId val="2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6834995561911337"/>
          <c:w val="0.99633450022334058"/>
          <c:h val="0.83165004438088663"/>
        </c:manualLayout>
      </c:layout>
      <c:areaChart>
        <c:grouping val="standard"/>
        <c:varyColors val="0"/>
        <c:ser>
          <c:idx val="0"/>
          <c:order val="0"/>
          <c:tx>
            <c:strRef>
              <c:f>'Pivot-Report'!$K$6</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'Pivot-Report'!$J$7:$J$38</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'Pivot-Report'!$K$7:$K$38</c:f>
              <c:numCache>
                <c:formatCode>0.00</c:formatCode>
                <c:ptCount val="31"/>
                <c:pt idx="0">
                  <c:v>35.285714285714285</c:v>
                </c:pt>
                <c:pt idx="1">
                  <c:v>31.842105263157894</c:v>
                </c:pt>
                <c:pt idx="2">
                  <c:v>34.714285714285715</c:v>
                </c:pt>
                <c:pt idx="3">
                  <c:v>42.823529411764703</c:v>
                </c:pt>
                <c:pt idx="4">
                  <c:v>32.157894736842103</c:v>
                </c:pt>
                <c:pt idx="5">
                  <c:v>34.833333333333336</c:v>
                </c:pt>
                <c:pt idx="6">
                  <c:v>33.4</c:v>
                </c:pt>
                <c:pt idx="7">
                  <c:v>28.15</c:v>
                </c:pt>
                <c:pt idx="8">
                  <c:v>31.333333333333332</c:v>
                </c:pt>
                <c:pt idx="9">
                  <c:v>37.375</c:v>
                </c:pt>
                <c:pt idx="10">
                  <c:v>36.0625</c:v>
                </c:pt>
                <c:pt idx="11">
                  <c:v>40.5</c:v>
                </c:pt>
                <c:pt idx="12">
                  <c:v>39.571428571428569</c:v>
                </c:pt>
                <c:pt idx="13">
                  <c:v>30.25</c:v>
                </c:pt>
                <c:pt idx="14">
                  <c:v>39.722222222222221</c:v>
                </c:pt>
                <c:pt idx="15">
                  <c:v>38.133333333333333</c:v>
                </c:pt>
                <c:pt idx="16">
                  <c:v>34.08</c:v>
                </c:pt>
                <c:pt idx="17">
                  <c:v>30.066666666666666</c:v>
                </c:pt>
                <c:pt idx="18">
                  <c:v>33.263157894736842</c:v>
                </c:pt>
                <c:pt idx="19">
                  <c:v>38.565217391304351</c:v>
                </c:pt>
                <c:pt idx="20">
                  <c:v>28.6</c:v>
                </c:pt>
                <c:pt idx="21">
                  <c:v>36.285714285714285</c:v>
                </c:pt>
                <c:pt idx="22">
                  <c:v>40.375</c:v>
                </c:pt>
                <c:pt idx="23">
                  <c:v>34.666666666666664</c:v>
                </c:pt>
                <c:pt idx="24">
                  <c:v>34.863636363636367</c:v>
                </c:pt>
                <c:pt idx="25">
                  <c:v>30.928571428571427</c:v>
                </c:pt>
                <c:pt idx="26">
                  <c:v>35.6</c:v>
                </c:pt>
                <c:pt idx="27">
                  <c:v>34.952380952380949</c:v>
                </c:pt>
                <c:pt idx="28">
                  <c:v>34.411764705882355</c:v>
                </c:pt>
                <c:pt idx="29">
                  <c:v>34</c:v>
                </c:pt>
                <c:pt idx="30">
                  <c:v>36.421052631578945</c:v>
                </c:pt>
              </c:numCache>
            </c:numRef>
          </c:val>
          <c:extLst>
            <c:ext xmlns:c16="http://schemas.microsoft.com/office/drawing/2014/chart" uri="{C3380CC4-5D6E-409C-BE32-E72D297353CC}">
              <c16:uniqueId val="{00000007-5D2F-40FF-8853-6DBDDCA0711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662112751"/>
        <c:axId val="1982966895"/>
      </c:areaChart>
      <c:catAx>
        <c:axId val="1662112751"/>
        <c:scaling>
          <c:orientation val="minMax"/>
        </c:scaling>
        <c:delete val="0"/>
        <c:axPos val="b"/>
        <c:numFmt formatCode="General" sourceLinked="1"/>
        <c:majorTickMark val="out"/>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82966895"/>
        <c:crosses val="autoZero"/>
        <c:auto val="1"/>
        <c:lblAlgn val="ctr"/>
        <c:lblOffset val="100"/>
        <c:noMultiLvlLbl val="0"/>
      </c:catAx>
      <c:valAx>
        <c:axId val="1982966895"/>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62112751"/>
        <c:crosses val="autoZero"/>
        <c:crossBetween val="midCat"/>
      </c:valAx>
      <c:spPr>
        <a:noFill/>
        <a:ln>
          <a:noFill/>
        </a:ln>
        <a:effectLst/>
      </c:spPr>
    </c:plotArea>
    <c:plotVisOnly val="1"/>
    <c:dispBlanksAs val="zero"/>
    <c:showDLblsOverMax val="0"/>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(Recovered).xlsx]Pivot-Report!PivotTable4</c:name>
    <c:fmtId val="3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391568241469817E-2"/>
          <c:y val="2.1125075711689884E-2"/>
          <c:w val="1"/>
          <c:h val="0.85338764385221078"/>
        </c:manualLayout>
      </c:layout>
      <c:areaChart>
        <c:grouping val="standard"/>
        <c:varyColors val="0"/>
        <c:ser>
          <c:idx val="0"/>
          <c:order val="0"/>
          <c:tx>
            <c:strRef>
              <c:f>'Pivot-Report'!$N$5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'Pivot-Report'!$M$6:$M$36</c:f>
              <c:strCache>
                <c:ptCount val="30"/>
                <c:pt idx="0">
                  <c:v>1-Aug</c:v>
                </c:pt>
                <c:pt idx="1">
                  <c:v>2-Aug</c:v>
                </c:pt>
                <c:pt idx="2">
                  <c:v>3-Aug</c:v>
                </c:pt>
                <c:pt idx="3">
                  <c:v>4-Aug</c:v>
                </c:pt>
                <c:pt idx="4">
                  <c:v>5-Aug</c:v>
                </c:pt>
                <c:pt idx="5">
                  <c:v>6-Aug</c:v>
                </c:pt>
                <c:pt idx="6">
                  <c:v>8-Aug</c:v>
                </c:pt>
                <c:pt idx="7">
                  <c:v>9-Aug</c:v>
                </c:pt>
                <c:pt idx="8">
                  <c:v>10-Aug</c:v>
                </c:pt>
                <c:pt idx="9">
                  <c:v>11-Aug</c:v>
                </c:pt>
                <c:pt idx="10">
                  <c:v>12-Aug</c:v>
                </c:pt>
                <c:pt idx="11">
                  <c:v>13-Aug</c:v>
                </c:pt>
                <c:pt idx="12">
                  <c:v>14-Aug</c:v>
                </c:pt>
                <c:pt idx="13">
                  <c:v>15-Aug</c:v>
                </c:pt>
                <c:pt idx="14">
                  <c:v>16-Aug</c:v>
                </c:pt>
                <c:pt idx="15">
                  <c:v>17-Aug</c:v>
                </c:pt>
                <c:pt idx="16">
                  <c:v>18-Aug</c:v>
                </c:pt>
                <c:pt idx="17">
                  <c:v>19-Aug</c:v>
                </c:pt>
                <c:pt idx="18">
                  <c:v>20-Aug</c:v>
                </c:pt>
                <c:pt idx="19">
                  <c:v>21-Aug</c:v>
                </c:pt>
                <c:pt idx="20">
                  <c:v>22-Aug</c:v>
                </c:pt>
                <c:pt idx="21">
                  <c:v>23-Aug</c:v>
                </c:pt>
                <c:pt idx="22">
                  <c:v>24-Aug</c:v>
                </c:pt>
                <c:pt idx="23">
                  <c:v>25-Aug</c:v>
                </c:pt>
                <c:pt idx="24">
                  <c:v>26-Aug</c:v>
                </c:pt>
                <c:pt idx="25">
                  <c:v>27-Aug</c:v>
                </c:pt>
                <c:pt idx="26">
                  <c:v>28-Aug</c:v>
                </c:pt>
                <c:pt idx="27">
                  <c:v>29-Aug</c:v>
                </c:pt>
                <c:pt idx="28">
                  <c:v>30-Aug</c:v>
                </c:pt>
                <c:pt idx="29">
                  <c:v>31-Aug</c:v>
                </c:pt>
              </c:strCache>
            </c:strRef>
          </c:cat>
          <c:val>
            <c:numRef>
              <c:f>'Pivot-Report'!$N$6:$N$36</c:f>
              <c:numCache>
                <c:formatCode>0.00</c:formatCode>
                <c:ptCount val="30"/>
                <c:pt idx="0">
                  <c:v>4.5</c:v>
                </c:pt>
                <c:pt idx="1">
                  <c:v>4.666666666666667</c:v>
                </c:pt>
                <c:pt idx="2">
                  <c:v>7.4</c:v>
                </c:pt>
                <c:pt idx="3">
                  <c:v>4.5</c:v>
                </c:pt>
                <c:pt idx="4">
                  <c:v>4.8</c:v>
                </c:pt>
                <c:pt idx="5">
                  <c:v>4.75</c:v>
                </c:pt>
                <c:pt idx="6">
                  <c:v>2.25</c:v>
                </c:pt>
                <c:pt idx="7">
                  <c:v>4</c:v>
                </c:pt>
                <c:pt idx="8">
                  <c:v>6.666666666666667</c:v>
                </c:pt>
                <c:pt idx="9">
                  <c:v>2.6666666666666665</c:v>
                </c:pt>
                <c:pt idx="10">
                  <c:v>3.6666666666666665</c:v>
                </c:pt>
                <c:pt idx="11">
                  <c:v>4</c:v>
                </c:pt>
                <c:pt idx="12">
                  <c:v>7.5</c:v>
                </c:pt>
                <c:pt idx="13">
                  <c:v>5.5</c:v>
                </c:pt>
                <c:pt idx="14">
                  <c:v>7.5</c:v>
                </c:pt>
                <c:pt idx="15">
                  <c:v>5</c:v>
                </c:pt>
                <c:pt idx="16">
                  <c:v>3.5</c:v>
                </c:pt>
                <c:pt idx="17">
                  <c:v>6.5</c:v>
                </c:pt>
                <c:pt idx="18">
                  <c:v>5.833333333333333</c:v>
                </c:pt>
                <c:pt idx="19">
                  <c:v>4.5</c:v>
                </c:pt>
                <c:pt idx="20">
                  <c:v>3.75</c:v>
                </c:pt>
                <c:pt idx="21">
                  <c:v>10</c:v>
                </c:pt>
                <c:pt idx="22">
                  <c:v>4</c:v>
                </c:pt>
                <c:pt idx="23">
                  <c:v>8.3333333333333339</c:v>
                </c:pt>
                <c:pt idx="24">
                  <c:v>3.25</c:v>
                </c:pt>
                <c:pt idx="25">
                  <c:v>6</c:v>
                </c:pt>
                <c:pt idx="26">
                  <c:v>6</c:v>
                </c:pt>
                <c:pt idx="27">
                  <c:v>3.3333333333333335</c:v>
                </c:pt>
                <c:pt idx="28">
                  <c:v>6.666666666666667</c:v>
                </c:pt>
                <c:pt idx="29">
                  <c:v>5.625</c:v>
                </c:pt>
              </c:numCache>
            </c:numRef>
          </c:val>
          <c:extLst>
            <c:ext xmlns:c16="http://schemas.microsoft.com/office/drawing/2014/chart" uri="{C3380CC4-5D6E-409C-BE32-E72D297353CC}">
              <c16:uniqueId val="{00000007-9C74-44FB-BEB4-FBA930C76CA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387123647"/>
        <c:axId val="546638191"/>
      </c:areaChart>
      <c:catAx>
        <c:axId val="1387123647"/>
        <c:scaling>
          <c:orientation val="minMax"/>
        </c:scaling>
        <c:delete val="0"/>
        <c:axPos val="b"/>
        <c:numFmt formatCode="General" sourceLinked="1"/>
        <c:majorTickMark val="out"/>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46638191"/>
        <c:crosses val="autoZero"/>
        <c:auto val="1"/>
        <c:lblAlgn val="ctr"/>
        <c:lblOffset val="100"/>
        <c:noMultiLvlLbl val="0"/>
      </c:catAx>
      <c:valAx>
        <c:axId val="546638191"/>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871236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20" Type="http://schemas.openxmlformats.org/officeDocument/2006/relationships/image" Target="../media/image10.sv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g Wait Time'!A1"/><Relationship Id="rId19" Type="http://schemas.openxmlformats.org/officeDocument/2006/relationships/image" Target="../media/image9.png"/><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3.svg"/></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image" Target="../media/image13.svg"/><Relationship Id="rId2" Type="http://schemas.openxmlformats.org/officeDocument/2006/relationships/image" Target="../media/image12.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image" Target="../media/image13.svg"/><Relationship Id="rId2" Type="http://schemas.openxmlformats.org/officeDocument/2006/relationships/image" Target="../media/image12.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2</xdr:col>
      <xdr:colOff>596900</xdr:colOff>
      <xdr:row>20</xdr:row>
      <xdr:rowOff>171450</xdr:rowOff>
    </xdr:from>
    <xdr:to>
      <xdr:col>3</xdr:col>
      <xdr:colOff>1117600</xdr:colOff>
      <xdr:row>22</xdr:row>
      <xdr:rowOff>158750</xdr:rowOff>
    </xdr:to>
    <xdr:graphicFrame macro="">
      <xdr:nvGraphicFramePr>
        <xdr:cNvPr id="3" name="Chart 2">
          <a:extLst>
            <a:ext uri="{FF2B5EF4-FFF2-40B4-BE49-F238E27FC236}">
              <a16:creationId xmlns:a16="http://schemas.microsoft.com/office/drawing/2014/main" id="{35DB4265-23BC-56C8-1F31-5B19CE429C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32564</xdr:colOff>
      <xdr:row>2</xdr:row>
      <xdr:rowOff>52678</xdr:rowOff>
    </xdr:from>
    <xdr:to>
      <xdr:col>1</xdr:col>
      <xdr:colOff>165100</xdr:colOff>
      <xdr:row>18</xdr:row>
      <xdr:rowOff>161225</xdr:rowOff>
    </xdr:to>
    <xdr:sp macro="" textlink="">
      <xdr:nvSpPr>
        <xdr:cNvPr id="2" name="Rectangle: Rounded Corners 1">
          <a:extLst>
            <a:ext uri="{FF2B5EF4-FFF2-40B4-BE49-F238E27FC236}">
              <a16:creationId xmlns:a16="http://schemas.microsoft.com/office/drawing/2014/main" id="{B4D8A015-500E-E275-E6E5-84D2CAD1E93E}"/>
            </a:ext>
          </a:extLst>
        </xdr:cNvPr>
        <xdr:cNvSpPr/>
      </xdr:nvSpPr>
      <xdr:spPr>
        <a:xfrm>
          <a:off x="32564" y="426207"/>
          <a:ext cx="742634" cy="3096783"/>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415000</xdr:colOff>
      <xdr:row>0</xdr:row>
      <xdr:rowOff>21818</xdr:rowOff>
    </xdr:from>
    <xdr:to>
      <xdr:col>11</xdr:col>
      <xdr:colOff>466753</xdr:colOff>
      <xdr:row>9</xdr:row>
      <xdr:rowOff>92265</xdr:rowOff>
    </xdr:to>
    <xdr:sp macro="" textlink="">
      <xdr:nvSpPr>
        <xdr:cNvPr id="4" name="Rectangle: Rounded Corners 3">
          <a:extLst>
            <a:ext uri="{FF2B5EF4-FFF2-40B4-BE49-F238E27FC236}">
              <a16:creationId xmlns:a16="http://schemas.microsoft.com/office/drawing/2014/main" id="{7B1ACBDC-F10B-495F-4810-8529E73266AB}"/>
            </a:ext>
          </a:extLst>
        </xdr:cNvPr>
        <xdr:cNvSpPr/>
      </xdr:nvSpPr>
      <xdr:spPr>
        <a:xfrm>
          <a:off x="5295000" y="21818"/>
          <a:ext cx="1881753" cy="1735447"/>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27138</xdr:colOff>
      <xdr:row>0</xdr:row>
      <xdr:rowOff>32565</xdr:rowOff>
    </xdr:from>
    <xdr:to>
      <xdr:col>5</xdr:col>
      <xdr:colOff>418720</xdr:colOff>
      <xdr:row>2</xdr:row>
      <xdr:rowOff>43420</xdr:rowOff>
    </xdr:to>
    <xdr:sp macro="" textlink="">
      <xdr:nvSpPr>
        <xdr:cNvPr id="6" name="Rectangle: Rounded Corners 5">
          <a:extLst>
            <a:ext uri="{FF2B5EF4-FFF2-40B4-BE49-F238E27FC236}">
              <a16:creationId xmlns:a16="http://schemas.microsoft.com/office/drawing/2014/main" id="{3089667C-5A28-FDC1-6DD1-B999AE95D3A3}"/>
            </a:ext>
          </a:extLst>
        </xdr:cNvPr>
        <xdr:cNvSpPr/>
      </xdr:nvSpPr>
      <xdr:spPr>
        <a:xfrm>
          <a:off x="27138" y="32565"/>
          <a:ext cx="3430898" cy="379915"/>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531880</xdr:colOff>
      <xdr:row>0</xdr:row>
      <xdr:rowOff>25000</xdr:rowOff>
    </xdr:from>
    <xdr:to>
      <xdr:col>14</xdr:col>
      <xdr:colOff>585000</xdr:colOff>
      <xdr:row>9</xdr:row>
      <xdr:rowOff>92265</xdr:rowOff>
    </xdr:to>
    <xdr:sp macro="" textlink="">
      <xdr:nvSpPr>
        <xdr:cNvPr id="7" name="Rectangle: Rounded Corners 6">
          <a:extLst>
            <a:ext uri="{FF2B5EF4-FFF2-40B4-BE49-F238E27FC236}">
              <a16:creationId xmlns:a16="http://schemas.microsoft.com/office/drawing/2014/main" id="{0CE7AABE-57DD-F1E3-C176-433B4EFC334F}"/>
            </a:ext>
          </a:extLst>
        </xdr:cNvPr>
        <xdr:cNvSpPr/>
      </xdr:nvSpPr>
      <xdr:spPr>
        <a:xfrm>
          <a:off x="7241880" y="25000"/>
          <a:ext cx="1883120" cy="1732265"/>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208628</xdr:colOff>
      <xdr:row>9</xdr:row>
      <xdr:rowOff>30827</xdr:rowOff>
    </xdr:from>
    <xdr:to>
      <xdr:col>8</xdr:col>
      <xdr:colOff>390770</xdr:colOff>
      <xdr:row>12</xdr:row>
      <xdr:rowOff>43157</xdr:rowOff>
    </xdr:to>
    <xdr:sp macro="" textlink="">
      <xdr:nvSpPr>
        <xdr:cNvPr id="10" name="Rectangle: Rounded Corners 9">
          <a:extLst>
            <a:ext uri="{FF2B5EF4-FFF2-40B4-BE49-F238E27FC236}">
              <a16:creationId xmlns:a16="http://schemas.microsoft.com/office/drawing/2014/main" id="{147B76D9-CE1A-19D6-BD15-E4FD396917D0}"/>
            </a:ext>
          </a:extLst>
        </xdr:cNvPr>
        <xdr:cNvSpPr/>
      </xdr:nvSpPr>
      <xdr:spPr>
        <a:xfrm>
          <a:off x="818968" y="1695390"/>
          <a:ext cx="4454520" cy="567184"/>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208627</xdr:colOff>
      <xdr:row>12</xdr:row>
      <xdr:rowOff>73982</xdr:rowOff>
    </xdr:from>
    <xdr:to>
      <xdr:col>8</xdr:col>
      <xdr:colOff>396196</xdr:colOff>
      <xdr:row>18</xdr:row>
      <xdr:rowOff>173677</xdr:rowOff>
    </xdr:to>
    <xdr:sp macro="" textlink="">
      <xdr:nvSpPr>
        <xdr:cNvPr id="11" name="Rectangle: Rounded Corners 10">
          <a:extLst>
            <a:ext uri="{FF2B5EF4-FFF2-40B4-BE49-F238E27FC236}">
              <a16:creationId xmlns:a16="http://schemas.microsoft.com/office/drawing/2014/main" id="{44128C12-1A23-4688-0C0C-19AD9EA039E9}"/>
            </a:ext>
          </a:extLst>
        </xdr:cNvPr>
        <xdr:cNvSpPr/>
      </xdr:nvSpPr>
      <xdr:spPr>
        <a:xfrm>
          <a:off x="818967" y="2293399"/>
          <a:ext cx="4459947" cy="1209404"/>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450000</xdr:colOff>
      <xdr:row>9</xdr:row>
      <xdr:rowOff>143324</xdr:rowOff>
    </xdr:from>
    <xdr:to>
      <xdr:col>14</xdr:col>
      <xdr:colOff>600697</xdr:colOff>
      <xdr:row>18</xdr:row>
      <xdr:rowOff>170461</xdr:rowOff>
    </xdr:to>
    <xdr:sp macro="" textlink="">
      <xdr:nvSpPr>
        <xdr:cNvPr id="12" name="Rectangle 11">
          <a:extLst>
            <a:ext uri="{FF2B5EF4-FFF2-40B4-BE49-F238E27FC236}">
              <a16:creationId xmlns:a16="http://schemas.microsoft.com/office/drawing/2014/main" id="{2C099D92-1632-2B06-BF36-54A9CCF933E4}"/>
            </a:ext>
          </a:extLst>
        </xdr:cNvPr>
        <xdr:cNvSpPr/>
      </xdr:nvSpPr>
      <xdr:spPr>
        <a:xfrm>
          <a:off x="5330000" y="1808324"/>
          <a:ext cx="3810697" cy="1692137"/>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135684</xdr:colOff>
      <xdr:row>0</xdr:row>
      <xdr:rowOff>27137</xdr:rowOff>
    </xdr:from>
    <xdr:to>
      <xdr:col>5</xdr:col>
      <xdr:colOff>434190</xdr:colOff>
      <xdr:row>1</xdr:row>
      <xdr:rowOff>48846</xdr:rowOff>
    </xdr:to>
    <xdr:sp macro="" textlink="">
      <xdr:nvSpPr>
        <xdr:cNvPr id="13" name="TextBox 12">
          <a:extLst>
            <a:ext uri="{FF2B5EF4-FFF2-40B4-BE49-F238E27FC236}">
              <a16:creationId xmlns:a16="http://schemas.microsoft.com/office/drawing/2014/main" id="{1514C4A9-BE7A-82DD-1E83-94AD8C4D4DBC}"/>
            </a:ext>
          </a:extLst>
        </xdr:cNvPr>
        <xdr:cNvSpPr txBox="1"/>
      </xdr:nvSpPr>
      <xdr:spPr>
        <a:xfrm>
          <a:off x="743547" y="27137"/>
          <a:ext cx="2729959" cy="2062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a:t>Hospital Emergency</a:t>
          </a:r>
          <a:r>
            <a:rPr lang="en-IN" sz="1200" baseline="0"/>
            <a:t> Room </a:t>
          </a:r>
          <a:r>
            <a:rPr lang="en-IN" sz="1200" baseline="0">
              <a:ln>
                <a:noFill/>
              </a:ln>
              <a:solidFill>
                <a:schemeClr val="dk1"/>
              </a:solidFill>
            </a:rPr>
            <a:t>Dashboard</a:t>
          </a:r>
          <a:endParaRPr lang="en-IN" sz="1200">
            <a:ln>
              <a:noFill/>
            </a:ln>
            <a:solidFill>
              <a:schemeClr val="dk1"/>
            </a:solidFill>
          </a:endParaRPr>
        </a:p>
      </xdr:txBody>
    </xdr:sp>
    <xdr:clientData/>
  </xdr:twoCellAnchor>
  <xdr:twoCellAnchor editAs="oneCell">
    <xdr:from>
      <xdr:col>0</xdr:col>
      <xdr:colOff>113975</xdr:colOff>
      <xdr:row>0</xdr:row>
      <xdr:rowOff>0</xdr:rowOff>
    </xdr:from>
    <xdr:to>
      <xdr:col>1</xdr:col>
      <xdr:colOff>249659</xdr:colOff>
      <xdr:row>2</xdr:row>
      <xdr:rowOff>86837</xdr:rowOff>
    </xdr:to>
    <xdr:pic>
      <xdr:nvPicPr>
        <xdr:cNvPr id="15" name="Picture 14">
          <a:extLst>
            <a:ext uri="{FF2B5EF4-FFF2-40B4-BE49-F238E27FC236}">
              <a16:creationId xmlns:a16="http://schemas.microsoft.com/office/drawing/2014/main" id="{62C319BC-C504-AF0E-FB0F-C7836E9AF2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3975" y="0"/>
          <a:ext cx="743547" cy="455897"/>
        </a:xfrm>
        <a:prstGeom prst="rect">
          <a:avLst/>
        </a:prstGeom>
      </xdr:spPr>
    </xdr:pic>
    <xdr:clientData/>
  </xdr:twoCellAnchor>
  <xdr:twoCellAnchor>
    <xdr:from>
      <xdr:col>2</xdr:col>
      <xdr:colOff>189959</xdr:colOff>
      <xdr:row>1</xdr:row>
      <xdr:rowOff>21710</xdr:rowOff>
    </xdr:from>
    <xdr:to>
      <xdr:col>4</xdr:col>
      <xdr:colOff>141111</xdr:colOff>
      <xdr:row>2</xdr:row>
      <xdr:rowOff>10855</xdr:rowOff>
    </xdr:to>
    <xdr:sp macro="" textlink="">
      <xdr:nvSpPr>
        <xdr:cNvPr id="16" name="TextBox 15">
          <a:extLst>
            <a:ext uri="{FF2B5EF4-FFF2-40B4-BE49-F238E27FC236}">
              <a16:creationId xmlns:a16="http://schemas.microsoft.com/office/drawing/2014/main" id="{B3A802C8-531C-1908-E9DC-92661810F338}"/>
            </a:ext>
          </a:extLst>
        </xdr:cNvPr>
        <xdr:cNvSpPr txBox="1"/>
      </xdr:nvSpPr>
      <xdr:spPr>
        <a:xfrm>
          <a:off x="1405685" y="206240"/>
          <a:ext cx="1166879" cy="173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50">
              <a:ln>
                <a:noFill/>
              </a:ln>
              <a:solidFill>
                <a:schemeClr val="dk1"/>
              </a:solidFill>
            </a:rPr>
            <a:t>Monthly</a:t>
          </a:r>
          <a:r>
            <a:rPr lang="en-IN" sz="1050" baseline="0">
              <a:ln>
                <a:noFill/>
              </a:ln>
              <a:solidFill>
                <a:schemeClr val="dk1"/>
              </a:solidFill>
            </a:rPr>
            <a:t> </a:t>
          </a:r>
          <a:r>
            <a:rPr lang="en-IN" sz="1200" baseline="0">
              <a:ln>
                <a:noFill/>
              </a:ln>
              <a:solidFill>
                <a:schemeClr val="dk1"/>
              </a:solidFill>
            </a:rPr>
            <a:t>Report</a:t>
          </a:r>
          <a:endParaRPr lang="en-IN" sz="1050">
            <a:ln>
              <a:noFill/>
            </a:ln>
            <a:solidFill>
              <a:schemeClr val="dk1"/>
            </a:solidFill>
          </a:endParaRPr>
        </a:p>
      </xdr:txBody>
    </xdr:sp>
    <xdr:clientData/>
  </xdr:twoCellAnchor>
  <xdr:twoCellAnchor>
    <xdr:from>
      <xdr:col>3</xdr:col>
      <xdr:colOff>412478</xdr:colOff>
      <xdr:row>2</xdr:row>
      <xdr:rowOff>65128</xdr:rowOff>
    </xdr:from>
    <xdr:to>
      <xdr:col>6</xdr:col>
      <xdr:colOff>10855</xdr:colOff>
      <xdr:row>8</xdr:row>
      <xdr:rowOff>154126</xdr:rowOff>
    </xdr:to>
    <xdr:sp macro="" textlink="">
      <xdr:nvSpPr>
        <xdr:cNvPr id="14" name="Rectangle: Top Corners Rounded 13">
          <a:extLst>
            <a:ext uri="{FF2B5EF4-FFF2-40B4-BE49-F238E27FC236}">
              <a16:creationId xmlns:a16="http://schemas.microsoft.com/office/drawing/2014/main" id="{E04553C2-B278-628B-0A6A-86D49EFB5003}"/>
            </a:ext>
          </a:extLst>
        </xdr:cNvPr>
        <xdr:cNvSpPr/>
      </xdr:nvSpPr>
      <xdr:spPr>
        <a:xfrm>
          <a:off x="2243497" y="435031"/>
          <a:ext cx="1429397" cy="1198707"/>
        </a:xfrm>
        <a:prstGeom prst="round2Same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48847</xdr:colOff>
      <xdr:row>2</xdr:row>
      <xdr:rowOff>65126</xdr:rowOff>
    </xdr:from>
    <xdr:to>
      <xdr:col>8</xdr:col>
      <xdr:colOff>363630</xdr:colOff>
      <xdr:row>8</xdr:row>
      <xdr:rowOff>160290</xdr:rowOff>
    </xdr:to>
    <xdr:sp macro="" textlink="">
      <xdr:nvSpPr>
        <xdr:cNvPr id="25" name="Rectangle: Top Corners Rounded 24">
          <a:extLst>
            <a:ext uri="{FF2B5EF4-FFF2-40B4-BE49-F238E27FC236}">
              <a16:creationId xmlns:a16="http://schemas.microsoft.com/office/drawing/2014/main" id="{E6332A6E-8915-90E7-71FC-61FF11C84369}"/>
            </a:ext>
          </a:extLst>
        </xdr:cNvPr>
        <xdr:cNvSpPr/>
      </xdr:nvSpPr>
      <xdr:spPr>
        <a:xfrm>
          <a:off x="3710886" y="435029"/>
          <a:ext cx="1535462" cy="1204873"/>
        </a:xfrm>
        <a:prstGeom prst="round2Same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222524</xdr:colOff>
      <xdr:row>2</xdr:row>
      <xdr:rowOff>70557</xdr:rowOff>
    </xdr:from>
    <xdr:to>
      <xdr:col>3</xdr:col>
      <xdr:colOff>374487</xdr:colOff>
      <xdr:row>8</xdr:row>
      <xdr:rowOff>155637</xdr:rowOff>
    </xdr:to>
    <xdr:sp macro="" textlink="">
      <xdr:nvSpPr>
        <xdr:cNvPr id="32" name="Rectangle: Top Corners Rounded 31">
          <a:extLst>
            <a:ext uri="{FF2B5EF4-FFF2-40B4-BE49-F238E27FC236}">
              <a16:creationId xmlns:a16="http://schemas.microsoft.com/office/drawing/2014/main" id="{58CD8CFC-67A2-8ECF-1337-17081D04EFF3}"/>
            </a:ext>
          </a:extLst>
        </xdr:cNvPr>
        <xdr:cNvSpPr/>
      </xdr:nvSpPr>
      <xdr:spPr>
        <a:xfrm>
          <a:off x="832622" y="444086"/>
          <a:ext cx="1372159" cy="1205669"/>
        </a:xfrm>
        <a:prstGeom prst="round2Same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2</xdr:col>
      <xdr:colOff>434190</xdr:colOff>
      <xdr:row>2</xdr:row>
      <xdr:rowOff>54274</xdr:rowOff>
    </xdr:from>
    <xdr:to>
      <xdr:col>3</xdr:col>
      <xdr:colOff>341924</xdr:colOff>
      <xdr:row>5</xdr:row>
      <xdr:rowOff>32564</xdr:rowOff>
    </xdr:to>
    <xdr:pic>
      <xdr:nvPicPr>
        <xdr:cNvPr id="24" name="Graphic 23" descr="Male profile with solid fill">
          <a:extLst>
            <a:ext uri="{FF2B5EF4-FFF2-40B4-BE49-F238E27FC236}">
              <a16:creationId xmlns:a16="http://schemas.microsoft.com/office/drawing/2014/main" id="{3CEAEFCD-4493-7895-D69F-80AFF0CE49F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49916" y="423334"/>
          <a:ext cx="515598" cy="531880"/>
        </a:xfrm>
        <a:prstGeom prst="rect">
          <a:avLst/>
        </a:prstGeom>
      </xdr:spPr>
    </xdr:pic>
    <xdr:clientData/>
  </xdr:twoCellAnchor>
  <xdr:twoCellAnchor editAs="oneCell">
    <xdr:from>
      <xdr:col>7</xdr:col>
      <xdr:colOff>385342</xdr:colOff>
      <xdr:row>2</xdr:row>
      <xdr:rowOff>54536</xdr:rowOff>
    </xdr:from>
    <xdr:to>
      <xdr:col>8</xdr:col>
      <xdr:colOff>276794</xdr:colOff>
      <xdr:row>4</xdr:row>
      <xdr:rowOff>152649</xdr:rowOff>
    </xdr:to>
    <xdr:pic>
      <xdr:nvPicPr>
        <xdr:cNvPr id="26" name="Graphic 25" descr="Customer review with solid fill">
          <a:extLst>
            <a:ext uri="{FF2B5EF4-FFF2-40B4-BE49-F238E27FC236}">
              <a16:creationId xmlns:a16="http://schemas.microsoft.com/office/drawing/2014/main" id="{DD542951-41C8-1DD5-43B7-865C4B35DEB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657721" y="424439"/>
          <a:ext cx="501791" cy="468016"/>
        </a:xfrm>
        <a:prstGeom prst="rect">
          <a:avLst/>
        </a:prstGeom>
      </xdr:spPr>
    </xdr:pic>
    <xdr:clientData/>
  </xdr:twoCellAnchor>
  <xdr:twoCellAnchor editAs="oneCell">
    <xdr:from>
      <xdr:col>5</xdr:col>
      <xdr:colOff>92266</xdr:colOff>
      <xdr:row>2</xdr:row>
      <xdr:rowOff>92265</xdr:rowOff>
    </xdr:from>
    <xdr:to>
      <xdr:col>5</xdr:col>
      <xdr:colOff>575300</xdr:colOff>
      <xdr:row>4</xdr:row>
      <xdr:rowOff>124828</xdr:rowOff>
    </xdr:to>
    <xdr:pic>
      <xdr:nvPicPr>
        <xdr:cNvPr id="28" name="Graphic 27" descr="Hourglass Finished with solid fill">
          <a:extLst>
            <a:ext uri="{FF2B5EF4-FFF2-40B4-BE49-F238E27FC236}">
              <a16:creationId xmlns:a16="http://schemas.microsoft.com/office/drawing/2014/main" id="{C96087B9-8B3A-AEBF-422B-173625CD2A5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131582" y="461325"/>
          <a:ext cx="483034" cy="401623"/>
        </a:xfrm>
        <a:prstGeom prst="rect">
          <a:avLst/>
        </a:prstGeom>
      </xdr:spPr>
    </xdr:pic>
    <xdr:clientData/>
  </xdr:twoCellAnchor>
  <xdr:twoCellAnchor>
    <xdr:from>
      <xdr:col>1</xdr:col>
      <xdr:colOff>238804</xdr:colOff>
      <xdr:row>3</xdr:row>
      <xdr:rowOff>37991</xdr:rowOff>
    </xdr:from>
    <xdr:to>
      <xdr:col>2</xdr:col>
      <xdr:colOff>151967</xdr:colOff>
      <xdr:row>4</xdr:row>
      <xdr:rowOff>135683</xdr:rowOff>
    </xdr:to>
    <xdr:sp macro="" textlink="'Pivot-Report'!A4">
      <xdr:nvSpPr>
        <xdr:cNvPr id="17" name="TextBox 16">
          <a:extLst>
            <a:ext uri="{FF2B5EF4-FFF2-40B4-BE49-F238E27FC236}">
              <a16:creationId xmlns:a16="http://schemas.microsoft.com/office/drawing/2014/main" id="{BACCB429-9B35-2DA4-F95D-6C95629B6AA4}"/>
            </a:ext>
          </a:extLst>
        </xdr:cNvPr>
        <xdr:cNvSpPr txBox="1"/>
      </xdr:nvSpPr>
      <xdr:spPr>
        <a:xfrm>
          <a:off x="846667" y="591581"/>
          <a:ext cx="521026" cy="282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28C91258-7DE9-4A7D-919E-24195E38E719}" type="TxLink">
            <a:rPr lang="en-US" sz="1600" b="0" i="0" u="none" strike="noStrike">
              <a:ln>
                <a:noFill/>
              </a:ln>
              <a:solidFill>
                <a:srgbClr val="000000"/>
              </a:solidFill>
              <a:latin typeface="Calibri"/>
              <a:ea typeface="Calibri"/>
              <a:cs typeface="Calibri"/>
            </a:rPr>
            <a:pPr algn="ctr"/>
            <a:t>530</a:t>
          </a:fld>
          <a:endParaRPr lang="en-IN" sz="1400">
            <a:ln>
              <a:noFill/>
            </a:ln>
            <a:solidFill>
              <a:schemeClr val="dk1"/>
            </a:solidFill>
          </a:endParaRPr>
        </a:p>
      </xdr:txBody>
    </xdr:sp>
    <xdr:clientData/>
  </xdr:twoCellAnchor>
  <xdr:twoCellAnchor>
    <xdr:from>
      <xdr:col>1</xdr:col>
      <xdr:colOff>157393</xdr:colOff>
      <xdr:row>4</xdr:row>
      <xdr:rowOff>179102</xdr:rowOff>
    </xdr:from>
    <xdr:to>
      <xdr:col>2</xdr:col>
      <xdr:colOff>569872</xdr:colOff>
      <xdr:row>5</xdr:row>
      <xdr:rowOff>151966</xdr:rowOff>
    </xdr:to>
    <xdr:sp macro="" textlink="'Pivot-Report'!A4">
      <xdr:nvSpPr>
        <xdr:cNvPr id="18" name="TextBox 17">
          <a:extLst>
            <a:ext uri="{FF2B5EF4-FFF2-40B4-BE49-F238E27FC236}">
              <a16:creationId xmlns:a16="http://schemas.microsoft.com/office/drawing/2014/main" id="{DA1EE2A3-E818-6C89-2BC5-B1DF599BDD23}"/>
            </a:ext>
          </a:extLst>
        </xdr:cNvPr>
        <xdr:cNvSpPr txBox="1"/>
      </xdr:nvSpPr>
      <xdr:spPr>
        <a:xfrm>
          <a:off x="765256" y="917222"/>
          <a:ext cx="1020342" cy="157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a:ln>
                <a:noFill/>
              </a:ln>
              <a:solidFill>
                <a:schemeClr val="dk1"/>
              </a:solidFill>
            </a:rPr>
            <a:t>No.Of</a:t>
          </a:r>
          <a:r>
            <a:rPr lang="en-IN" sz="1200" baseline="0">
              <a:ln>
                <a:noFill/>
              </a:ln>
              <a:solidFill>
                <a:schemeClr val="dk1"/>
              </a:solidFill>
            </a:rPr>
            <a:t> Patient</a:t>
          </a:r>
          <a:endParaRPr lang="en-IN" sz="1200">
            <a:ln>
              <a:noFill/>
            </a:ln>
            <a:solidFill>
              <a:schemeClr val="dk1"/>
            </a:solidFill>
          </a:endParaRPr>
        </a:p>
      </xdr:txBody>
    </xdr:sp>
    <xdr:clientData/>
  </xdr:twoCellAnchor>
  <xdr:twoCellAnchor>
    <xdr:from>
      <xdr:col>3</xdr:col>
      <xdr:colOff>401623</xdr:colOff>
      <xdr:row>3</xdr:row>
      <xdr:rowOff>54273</xdr:rowOff>
    </xdr:from>
    <xdr:to>
      <xdr:col>4</xdr:col>
      <xdr:colOff>493888</xdr:colOff>
      <xdr:row>4</xdr:row>
      <xdr:rowOff>124829</xdr:rowOff>
    </xdr:to>
    <xdr:sp macro="" textlink="'Pivot-Report'!A8">
      <xdr:nvSpPr>
        <xdr:cNvPr id="19" name="TextBox 18">
          <a:extLst>
            <a:ext uri="{FF2B5EF4-FFF2-40B4-BE49-F238E27FC236}">
              <a16:creationId xmlns:a16="http://schemas.microsoft.com/office/drawing/2014/main" id="{EC6226B1-595C-B978-724E-0FB2C282F597}"/>
            </a:ext>
          </a:extLst>
        </xdr:cNvPr>
        <xdr:cNvSpPr txBox="1"/>
      </xdr:nvSpPr>
      <xdr:spPr>
        <a:xfrm>
          <a:off x="2225213" y="607863"/>
          <a:ext cx="700128" cy="2550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349EA188-5E82-482E-91A3-913E92F8D1F2}" type="TxLink">
            <a:rPr lang="en-US" sz="1600" b="0" i="0" u="none" strike="noStrike">
              <a:ln>
                <a:noFill/>
              </a:ln>
              <a:solidFill>
                <a:srgbClr val="000000"/>
              </a:solidFill>
              <a:latin typeface="Calibri"/>
              <a:ea typeface="Calibri"/>
              <a:cs typeface="Calibri"/>
            </a:rPr>
            <a:pPr algn="ctr"/>
            <a:t>35.11</a:t>
          </a:fld>
          <a:endParaRPr lang="en-US" sz="1600" b="0" i="0" u="none" strike="noStrike">
            <a:ln>
              <a:noFill/>
            </a:ln>
            <a:solidFill>
              <a:srgbClr val="000000"/>
            </a:solidFill>
            <a:latin typeface="Calibri"/>
            <a:ea typeface="Calibri"/>
            <a:cs typeface="Calibri"/>
          </a:endParaRPr>
        </a:p>
      </xdr:txBody>
    </xdr:sp>
    <xdr:clientData/>
  </xdr:twoCellAnchor>
  <xdr:twoCellAnchor>
    <xdr:from>
      <xdr:col>3</xdr:col>
      <xdr:colOff>407055</xdr:colOff>
      <xdr:row>4</xdr:row>
      <xdr:rowOff>173675</xdr:rowOff>
    </xdr:from>
    <xdr:to>
      <xdr:col>5</xdr:col>
      <xdr:colOff>504744</xdr:colOff>
      <xdr:row>5</xdr:row>
      <xdr:rowOff>146539</xdr:rowOff>
    </xdr:to>
    <xdr:sp macro="" textlink="'Pivot-Report'!A4">
      <xdr:nvSpPr>
        <xdr:cNvPr id="22" name="TextBox 21">
          <a:extLst>
            <a:ext uri="{FF2B5EF4-FFF2-40B4-BE49-F238E27FC236}">
              <a16:creationId xmlns:a16="http://schemas.microsoft.com/office/drawing/2014/main" id="{09BD5C37-B9A9-FF29-B7C2-AA7907C84EE7}"/>
            </a:ext>
          </a:extLst>
        </xdr:cNvPr>
        <xdr:cNvSpPr txBox="1"/>
      </xdr:nvSpPr>
      <xdr:spPr>
        <a:xfrm>
          <a:off x="2230645" y="911795"/>
          <a:ext cx="1313415" cy="157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a:ln>
                <a:noFill/>
              </a:ln>
              <a:solidFill>
                <a:schemeClr val="dk1"/>
              </a:solidFill>
            </a:rPr>
            <a:t>Average</a:t>
          </a:r>
          <a:r>
            <a:rPr lang="en-IN" sz="1200" baseline="0">
              <a:ln>
                <a:noFill/>
              </a:ln>
              <a:solidFill>
                <a:schemeClr val="dk1"/>
              </a:solidFill>
            </a:rPr>
            <a:t> Wait Time</a:t>
          </a:r>
        </a:p>
      </xdr:txBody>
    </xdr:sp>
    <xdr:clientData/>
  </xdr:twoCellAnchor>
  <xdr:twoCellAnchor>
    <xdr:from>
      <xdr:col>6</xdr:col>
      <xdr:colOff>37991</xdr:colOff>
      <xdr:row>3</xdr:row>
      <xdr:rowOff>43418</xdr:rowOff>
    </xdr:from>
    <xdr:to>
      <xdr:col>6</xdr:col>
      <xdr:colOff>586154</xdr:colOff>
      <xdr:row>4</xdr:row>
      <xdr:rowOff>162819</xdr:rowOff>
    </xdr:to>
    <xdr:sp macro="" textlink="'Pivot-Report'!A12">
      <xdr:nvSpPr>
        <xdr:cNvPr id="20" name="TextBox 19">
          <a:extLst>
            <a:ext uri="{FF2B5EF4-FFF2-40B4-BE49-F238E27FC236}">
              <a16:creationId xmlns:a16="http://schemas.microsoft.com/office/drawing/2014/main" id="{0BCD34B8-5B1E-EA35-A77A-72451EB7EED8}"/>
            </a:ext>
          </a:extLst>
        </xdr:cNvPr>
        <xdr:cNvSpPr txBox="1"/>
      </xdr:nvSpPr>
      <xdr:spPr>
        <a:xfrm>
          <a:off x="3685170" y="597008"/>
          <a:ext cx="548163" cy="303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C7674B90-4034-4701-97C9-F0783DB5A470}" type="TxLink">
            <a:rPr lang="en-US" sz="1600" b="0" i="0" u="none" strike="noStrike">
              <a:ln>
                <a:noFill/>
              </a:ln>
              <a:solidFill>
                <a:srgbClr val="000000"/>
              </a:solidFill>
              <a:latin typeface="Calibri"/>
              <a:ea typeface="Calibri"/>
              <a:cs typeface="Calibri"/>
            </a:rPr>
            <a:pPr algn="ctr"/>
            <a:t>5.18</a:t>
          </a:fld>
          <a:endParaRPr lang="en-IN" sz="1400">
            <a:ln>
              <a:noFill/>
            </a:ln>
            <a:solidFill>
              <a:schemeClr val="dk1"/>
            </a:solidFill>
          </a:endParaRPr>
        </a:p>
      </xdr:txBody>
    </xdr:sp>
    <xdr:clientData/>
  </xdr:twoCellAnchor>
  <xdr:twoCellAnchor>
    <xdr:from>
      <xdr:col>6</xdr:col>
      <xdr:colOff>1951</xdr:colOff>
      <xdr:row>4</xdr:row>
      <xdr:rowOff>117187</xdr:rowOff>
    </xdr:from>
    <xdr:to>
      <xdr:col>8</xdr:col>
      <xdr:colOff>199809</xdr:colOff>
      <xdr:row>6</xdr:row>
      <xdr:rowOff>155179</xdr:rowOff>
    </xdr:to>
    <xdr:sp macro="" textlink="'Pivot-Report'!A4">
      <xdr:nvSpPr>
        <xdr:cNvPr id="21" name="TextBox 20">
          <a:extLst>
            <a:ext uri="{FF2B5EF4-FFF2-40B4-BE49-F238E27FC236}">
              <a16:creationId xmlns:a16="http://schemas.microsoft.com/office/drawing/2014/main" id="{009807AD-9DDA-66AC-3860-C2EDAAA74934}"/>
            </a:ext>
          </a:extLst>
        </xdr:cNvPr>
        <xdr:cNvSpPr txBox="1"/>
      </xdr:nvSpPr>
      <xdr:spPr>
        <a:xfrm>
          <a:off x="3663990" y="856993"/>
          <a:ext cx="1418537" cy="407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a:ln>
                <a:noFill/>
              </a:ln>
              <a:solidFill>
                <a:schemeClr val="dk1"/>
              </a:solidFill>
            </a:rPr>
            <a:t>Patient</a:t>
          </a:r>
          <a:r>
            <a:rPr lang="en-IN" sz="1200" baseline="0">
              <a:ln>
                <a:noFill/>
              </a:ln>
              <a:solidFill>
                <a:schemeClr val="dk1"/>
              </a:solidFill>
            </a:rPr>
            <a:t> Satisfaction Score</a:t>
          </a:r>
          <a:endParaRPr lang="en-IN" sz="1200">
            <a:ln>
              <a:noFill/>
            </a:ln>
            <a:solidFill>
              <a:schemeClr val="dk1"/>
            </a:solidFill>
          </a:endParaRPr>
        </a:p>
      </xdr:txBody>
    </xdr:sp>
    <xdr:clientData/>
  </xdr:twoCellAnchor>
  <xdr:twoCellAnchor editAs="oneCell">
    <xdr:from>
      <xdr:col>0</xdr:col>
      <xdr:colOff>65835</xdr:colOff>
      <xdr:row>4</xdr:row>
      <xdr:rowOff>22425</xdr:rowOff>
    </xdr:from>
    <xdr:to>
      <xdr:col>1</xdr:col>
      <xdr:colOff>129804</xdr:colOff>
      <xdr:row>18</xdr:row>
      <xdr:rowOff>123301</xdr:rowOff>
    </xdr:to>
    <mc:AlternateContent xmlns:mc="http://schemas.openxmlformats.org/markup-compatibility/2006" xmlns:a14="http://schemas.microsoft.com/office/drawing/2010/main">
      <mc:Choice Requires="a14">
        <xdr:graphicFrame macro="">
          <xdr:nvGraphicFramePr>
            <xdr:cNvPr id="33" name="Date (Month)">
              <a:extLst>
                <a:ext uri="{FF2B5EF4-FFF2-40B4-BE49-F238E27FC236}">
                  <a16:creationId xmlns:a16="http://schemas.microsoft.com/office/drawing/2014/main" id="{FE97297E-9FE6-4B70-B1E6-562B9B75F6BB}"/>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65835" y="767860"/>
              <a:ext cx="671360" cy="27098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217893</xdr:colOff>
      <xdr:row>5</xdr:row>
      <xdr:rowOff>154126</xdr:rowOff>
    </xdr:from>
    <xdr:to>
      <xdr:col>3</xdr:col>
      <xdr:colOff>367305</xdr:colOff>
      <xdr:row>8</xdr:row>
      <xdr:rowOff>168088</xdr:rowOff>
    </xdr:to>
    <xdr:graphicFrame macro="">
      <xdr:nvGraphicFramePr>
        <xdr:cNvPr id="34" name="Chart 33">
          <a:hlinkClick xmlns:r="http://schemas.openxmlformats.org/officeDocument/2006/relationships" r:id="rId8"/>
          <a:extLst>
            <a:ext uri="{FF2B5EF4-FFF2-40B4-BE49-F238E27FC236}">
              <a16:creationId xmlns:a16="http://schemas.microsoft.com/office/drawing/2014/main" id="{807A5141-7DB0-4AA5-AAF0-5DD27DA691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413059</xdr:colOff>
      <xdr:row>5</xdr:row>
      <xdr:rowOff>55486</xdr:rowOff>
    </xdr:from>
    <xdr:to>
      <xdr:col>6</xdr:col>
      <xdr:colOff>14309</xdr:colOff>
      <xdr:row>8</xdr:row>
      <xdr:rowOff>149559</xdr:rowOff>
    </xdr:to>
    <xdr:graphicFrame macro="">
      <xdr:nvGraphicFramePr>
        <xdr:cNvPr id="5" name="Chart 4">
          <a:hlinkClick xmlns:r="http://schemas.openxmlformats.org/officeDocument/2006/relationships" r:id="rId10"/>
          <a:extLst>
            <a:ext uri="{FF2B5EF4-FFF2-40B4-BE49-F238E27FC236}">
              <a16:creationId xmlns:a16="http://schemas.microsoft.com/office/drawing/2014/main" id="{F5CD565E-0C9D-4CAA-9539-21DA2DDC80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49319</xdr:colOff>
      <xdr:row>4</xdr:row>
      <xdr:rowOff>117187</xdr:rowOff>
    </xdr:from>
    <xdr:to>
      <xdr:col>8</xdr:col>
      <xdr:colOff>382233</xdr:colOff>
      <xdr:row>8</xdr:row>
      <xdr:rowOff>147961</xdr:rowOff>
    </xdr:to>
    <xdr:graphicFrame macro="">
      <xdr:nvGraphicFramePr>
        <xdr:cNvPr id="9" name="Chart 8">
          <a:hlinkClick xmlns:r="http://schemas.openxmlformats.org/officeDocument/2006/relationships" r:id="rId12"/>
          <a:extLst>
            <a:ext uri="{FF2B5EF4-FFF2-40B4-BE49-F238E27FC236}">
              <a16:creationId xmlns:a16="http://schemas.microsoft.com/office/drawing/2014/main" id="{71F53183-2ACC-4BFF-A43B-9FE8FED772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215777</xdr:colOff>
          <xdr:row>9</xdr:row>
          <xdr:rowOff>12331</xdr:rowOff>
        </xdr:from>
        <xdr:to>
          <xdr:col>8</xdr:col>
          <xdr:colOff>379620</xdr:colOff>
          <xdr:row>12</xdr:row>
          <xdr:rowOff>30827</xdr:rowOff>
        </xdr:to>
        <xdr:pic>
          <xdr:nvPicPr>
            <xdr:cNvPr id="30" name="Picture 29">
              <a:extLst>
                <a:ext uri="{FF2B5EF4-FFF2-40B4-BE49-F238E27FC236}">
                  <a16:creationId xmlns:a16="http://schemas.microsoft.com/office/drawing/2014/main" id="{39FEB54E-40B9-C386-D319-B5E58F2E6347}"/>
                </a:ext>
              </a:extLst>
            </xdr:cNvPr>
            <xdr:cNvPicPr>
              <a:picLocks noChangeAspect="1" noChangeArrowheads="1"/>
              <a:extLst>
                <a:ext uri="{84589F7E-364E-4C9E-8A38-B11213B215E9}">
                  <a14:cameraTool cellRange="'Pivot-Report'!$A$21:$D$23" spid="_x0000_s1038"/>
                </a:ext>
              </a:extLst>
            </xdr:cNvPicPr>
          </xdr:nvPicPr>
          <xdr:blipFill>
            <a:blip xmlns:r="http://schemas.openxmlformats.org/officeDocument/2006/relationships" r:embed="rId14"/>
            <a:srcRect/>
            <a:stretch>
              <a:fillRect/>
            </a:stretch>
          </xdr:blipFill>
          <xdr:spPr bwMode="auto">
            <a:xfrm>
              <a:off x="823168" y="1689559"/>
              <a:ext cx="4415582" cy="577572"/>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240437</xdr:colOff>
      <xdr:row>12</xdr:row>
      <xdr:rowOff>73981</xdr:rowOff>
    </xdr:from>
    <xdr:to>
      <xdr:col>8</xdr:col>
      <xdr:colOff>351408</xdr:colOff>
      <xdr:row>18</xdr:row>
      <xdr:rowOff>172622</xdr:rowOff>
    </xdr:to>
    <xdr:graphicFrame macro="">
      <xdr:nvGraphicFramePr>
        <xdr:cNvPr id="31" name="Chart 30">
          <a:extLst>
            <a:ext uri="{FF2B5EF4-FFF2-40B4-BE49-F238E27FC236}">
              <a16:creationId xmlns:a16="http://schemas.microsoft.com/office/drawing/2014/main" id="{AD0E3580-FC5B-43EF-B083-139C8F2B8D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457003</xdr:colOff>
      <xdr:row>18</xdr:row>
      <xdr:rowOff>35620</xdr:rowOff>
    </xdr:from>
    <xdr:to>
      <xdr:col>6</xdr:col>
      <xdr:colOff>511699</xdr:colOff>
      <xdr:row>18</xdr:row>
      <xdr:rowOff>160291</xdr:rowOff>
    </xdr:to>
    <xdr:sp macro="" textlink="'Pivot-Report'!A4">
      <xdr:nvSpPr>
        <xdr:cNvPr id="35" name="TextBox 34">
          <a:extLst>
            <a:ext uri="{FF2B5EF4-FFF2-40B4-BE49-F238E27FC236}">
              <a16:creationId xmlns:a16="http://schemas.microsoft.com/office/drawing/2014/main" id="{27877B80-AFD7-4A2F-941E-0A610C268A8E}"/>
            </a:ext>
          </a:extLst>
        </xdr:cNvPr>
        <xdr:cNvSpPr txBox="1"/>
      </xdr:nvSpPr>
      <xdr:spPr>
        <a:xfrm>
          <a:off x="1677683" y="3364746"/>
          <a:ext cx="2496055" cy="124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a:ln>
                <a:noFill/>
              </a:ln>
              <a:solidFill>
                <a:schemeClr val="dk1"/>
              </a:solidFill>
            </a:rPr>
            <a:t>No.Of</a:t>
          </a:r>
          <a:r>
            <a:rPr lang="en-IN" sz="1200" baseline="0">
              <a:ln>
                <a:noFill/>
              </a:ln>
              <a:solidFill>
                <a:schemeClr val="dk1"/>
              </a:solidFill>
            </a:rPr>
            <a:t> Patient By Age Group</a:t>
          </a:r>
          <a:endParaRPr lang="en-IN" sz="1200">
            <a:ln>
              <a:noFill/>
            </a:ln>
            <a:solidFill>
              <a:schemeClr val="dk1"/>
            </a:solidFill>
          </a:endParaRPr>
        </a:p>
      </xdr:txBody>
    </xdr:sp>
    <xdr:clientData/>
  </xdr:twoCellAnchor>
  <xdr:twoCellAnchor>
    <xdr:from>
      <xdr:col>8</xdr:col>
      <xdr:colOff>443883</xdr:colOff>
      <xdr:row>0</xdr:row>
      <xdr:rowOff>49322</xdr:rowOff>
    </xdr:from>
    <xdr:to>
      <xdr:col>11</xdr:col>
      <xdr:colOff>462378</xdr:colOff>
      <xdr:row>9</xdr:row>
      <xdr:rowOff>67817</xdr:rowOff>
    </xdr:to>
    <xdr:graphicFrame macro="">
      <xdr:nvGraphicFramePr>
        <xdr:cNvPr id="37" name="Chart 36">
          <a:extLst>
            <a:ext uri="{FF2B5EF4-FFF2-40B4-BE49-F238E27FC236}">
              <a16:creationId xmlns:a16="http://schemas.microsoft.com/office/drawing/2014/main" id="{E6EDD19F-14F6-41E6-937F-B6E92CF87E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542525</xdr:colOff>
      <xdr:row>8</xdr:row>
      <xdr:rowOff>10960</xdr:rowOff>
    </xdr:from>
    <xdr:to>
      <xdr:col>11</xdr:col>
      <xdr:colOff>363738</xdr:colOff>
      <xdr:row>9</xdr:row>
      <xdr:rowOff>110970</xdr:rowOff>
    </xdr:to>
    <xdr:sp macro="" textlink="'Pivot-Report'!A4">
      <xdr:nvSpPr>
        <xdr:cNvPr id="38" name="TextBox 37">
          <a:extLst>
            <a:ext uri="{FF2B5EF4-FFF2-40B4-BE49-F238E27FC236}">
              <a16:creationId xmlns:a16="http://schemas.microsoft.com/office/drawing/2014/main" id="{5DE08E14-5FFE-4ABA-8BD8-9C1E7F18735B}"/>
            </a:ext>
          </a:extLst>
        </xdr:cNvPr>
        <xdr:cNvSpPr txBox="1"/>
      </xdr:nvSpPr>
      <xdr:spPr>
        <a:xfrm>
          <a:off x="5425243" y="1490572"/>
          <a:ext cx="1652233" cy="2849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a:ln>
                <a:noFill/>
              </a:ln>
              <a:solidFill>
                <a:schemeClr val="dk1"/>
              </a:solidFill>
            </a:rPr>
            <a:t>Patient</a:t>
          </a:r>
          <a:r>
            <a:rPr lang="en-IN" sz="1200" baseline="0">
              <a:ln>
                <a:noFill/>
              </a:ln>
              <a:solidFill>
                <a:schemeClr val="dk1"/>
              </a:solidFill>
            </a:rPr>
            <a:t> Attend Status</a:t>
          </a:r>
          <a:endParaRPr lang="en-IN" sz="1200">
            <a:ln>
              <a:noFill/>
            </a:ln>
            <a:solidFill>
              <a:schemeClr val="dk1"/>
            </a:solidFill>
          </a:endParaRPr>
        </a:p>
      </xdr:txBody>
    </xdr:sp>
    <xdr:clientData/>
  </xdr:twoCellAnchor>
  <xdr:twoCellAnchor>
    <xdr:from>
      <xdr:col>11</xdr:col>
      <xdr:colOff>554854</xdr:colOff>
      <xdr:row>0</xdr:row>
      <xdr:rowOff>61650</xdr:rowOff>
    </xdr:from>
    <xdr:to>
      <xdr:col>14</xdr:col>
      <xdr:colOff>573350</xdr:colOff>
      <xdr:row>9</xdr:row>
      <xdr:rowOff>61651</xdr:rowOff>
    </xdr:to>
    <xdr:graphicFrame macro="">
      <xdr:nvGraphicFramePr>
        <xdr:cNvPr id="39" name="Chart 38">
          <a:extLst>
            <a:ext uri="{FF2B5EF4-FFF2-40B4-BE49-F238E27FC236}">
              <a16:creationId xmlns:a16="http://schemas.microsoft.com/office/drawing/2014/main" id="{269BC934-AB8B-4C0C-9BB3-D0F6E2BB85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12</xdr:col>
      <xdr:colOff>53758</xdr:colOff>
      <xdr:row>8</xdr:row>
      <xdr:rowOff>27730</xdr:rowOff>
    </xdr:from>
    <xdr:to>
      <xdr:col>14</xdr:col>
      <xdr:colOff>485312</xdr:colOff>
      <xdr:row>9</xdr:row>
      <xdr:rowOff>127740</xdr:rowOff>
    </xdr:to>
    <xdr:sp macro="" textlink="'Pivot-Report'!A4">
      <xdr:nvSpPr>
        <xdr:cNvPr id="40" name="TextBox 39">
          <a:extLst>
            <a:ext uri="{FF2B5EF4-FFF2-40B4-BE49-F238E27FC236}">
              <a16:creationId xmlns:a16="http://schemas.microsoft.com/office/drawing/2014/main" id="{F3C2B979-38AB-44B9-B467-C8D04F88D190}"/>
            </a:ext>
          </a:extLst>
        </xdr:cNvPr>
        <xdr:cNvSpPr txBox="1"/>
      </xdr:nvSpPr>
      <xdr:spPr>
        <a:xfrm>
          <a:off x="7377836" y="1507342"/>
          <a:ext cx="1652233" cy="2849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a:ln>
                <a:noFill/>
              </a:ln>
              <a:solidFill>
                <a:schemeClr val="dk1"/>
              </a:solidFill>
            </a:rPr>
            <a:t>Gender Wise Analysis</a:t>
          </a:r>
        </a:p>
      </xdr:txBody>
    </xdr:sp>
    <xdr:clientData/>
  </xdr:twoCellAnchor>
  <xdr:twoCellAnchor>
    <xdr:from>
      <xdr:col>8</xdr:col>
      <xdr:colOff>538085</xdr:colOff>
      <xdr:row>9</xdr:row>
      <xdr:rowOff>161818</xdr:rowOff>
    </xdr:from>
    <xdr:to>
      <xdr:col>14</xdr:col>
      <xdr:colOff>604175</xdr:colOff>
      <xdr:row>18</xdr:row>
      <xdr:rowOff>172620</xdr:rowOff>
    </xdr:to>
    <xdr:graphicFrame macro="">
      <xdr:nvGraphicFramePr>
        <xdr:cNvPr id="41" name="Chart 40">
          <a:extLst>
            <a:ext uri="{FF2B5EF4-FFF2-40B4-BE49-F238E27FC236}">
              <a16:creationId xmlns:a16="http://schemas.microsoft.com/office/drawing/2014/main" id="{31596862-D896-4E9E-AD40-467E395CC1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286304</xdr:colOff>
      <xdr:row>17</xdr:row>
      <xdr:rowOff>180130</xdr:rowOff>
    </xdr:from>
    <xdr:to>
      <xdr:col>13</xdr:col>
      <xdr:colOff>474709</xdr:colOff>
      <xdr:row>18</xdr:row>
      <xdr:rowOff>172622</xdr:rowOff>
    </xdr:to>
    <xdr:sp macro="" textlink="'Pivot-Report'!A4">
      <xdr:nvSpPr>
        <xdr:cNvPr id="42" name="TextBox 41">
          <a:extLst>
            <a:ext uri="{FF2B5EF4-FFF2-40B4-BE49-F238E27FC236}">
              <a16:creationId xmlns:a16="http://schemas.microsoft.com/office/drawing/2014/main" id="{8FC72F84-A5D2-43EB-BC7B-07B84E15C8B9}"/>
            </a:ext>
          </a:extLst>
        </xdr:cNvPr>
        <xdr:cNvSpPr txBox="1"/>
      </xdr:nvSpPr>
      <xdr:spPr>
        <a:xfrm>
          <a:off x="5779362" y="3324305"/>
          <a:ext cx="2629764" cy="1774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a:ln>
                <a:noFill/>
              </a:ln>
              <a:solidFill>
                <a:schemeClr val="dk1"/>
              </a:solidFill>
            </a:rPr>
            <a:t>No.Of</a:t>
          </a:r>
          <a:r>
            <a:rPr lang="en-IN" sz="1200" baseline="0">
              <a:ln>
                <a:noFill/>
              </a:ln>
              <a:solidFill>
                <a:schemeClr val="dk1"/>
              </a:solidFill>
            </a:rPr>
            <a:t> Patient By Department Referal</a:t>
          </a:r>
          <a:endParaRPr lang="en-IN" sz="1200">
            <a:ln>
              <a:noFill/>
            </a:ln>
            <a:solidFill>
              <a:schemeClr val="dk1"/>
            </a:solidFill>
          </a:endParaRPr>
        </a:p>
      </xdr:txBody>
    </xdr:sp>
    <xdr:clientData/>
  </xdr:twoCellAnchor>
  <xdr:twoCellAnchor editAs="oneCell">
    <xdr:from>
      <xdr:col>5</xdr:col>
      <xdr:colOff>462379</xdr:colOff>
      <xdr:row>0</xdr:row>
      <xdr:rowOff>43155</xdr:rowOff>
    </xdr:from>
    <xdr:to>
      <xdr:col>8</xdr:col>
      <xdr:colOff>376068</xdr:colOff>
      <xdr:row>2</xdr:row>
      <xdr:rowOff>18495</xdr:rowOff>
    </xdr:to>
    <mc:AlternateContent xmlns:mc="http://schemas.openxmlformats.org/markup-compatibility/2006" xmlns:a14="http://schemas.microsoft.com/office/drawing/2010/main">
      <mc:Choice Requires="a14">
        <xdr:graphicFrame macro="">
          <xdr:nvGraphicFramePr>
            <xdr:cNvPr id="43" name="Date (Year)">
              <a:extLst>
                <a:ext uri="{FF2B5EF4-FFF2-40B4-BE49-F238E27FC236}">
                  <a16:creationId xmlns:a16="http://schemas.microsoft.com/office/drawing/2014/main" id="{15C0EEEB-781B-474C-A2BE-4930D5FD50AF}"/>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499336" y="43155"/>
              <a:ext cx="1735862" cy="3480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43155</xdr:colOff>
      <xdr:row>2</xdr:row>
      <xdr:rowOff>43153</xdr:rowOff>
    </xdr:from>
    <xdr:to>
      <xdr:col>1</xdr:col>
      <xdr:colOff>147961</xdr:colOff>
      <xdr:row>4</xdr:row>
      <xdr:rowOff>55485</xdr:rowOff>
    </xdr:to>
    <xdr:pic>
      <xdr:nvPicPr>
        <xdr:cNvPr id="45" name="Graphic 44" descr="Daily calendar with solid fill">
          <a:extLst>
            <a:ext uri="{FF2B5EF4-FFF2-40B4-BE49-F238E27FC236}">
              <a16:creationId xmlns:a16="http://schemas.microsoft.com/office/drawing/2014/main" id="{FD1B1743-1A99-9B9B-F455-4A99F1AD7BE9}"/>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43155" y="413056"/>
          <a:ext cx="715146" cy="38223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19050</xdr:colOff>
      <xdr:row>2</xdr:row>
      <xdr:rowOff>6350</xdr:rowOff>
    </xdr:from>
    <xdr:to>
      <xdr:col>15</xdr:col>
      <xdr:colOff>6350</xdr:colOff>
      <xdr:row>20</xdr:row>
      <xdr:rowOff>12700</xdr:rowOff>
    </xdr:to>
    <xdr:graphicFrame macro="">
      <xdr:nvGraphicFramePr>
        <xdr:cNvPr id="2" name="Chart 1">
          <a:extLst>
            <a:ext uri="{FF2B5EF4-FFF2-40B4-BE49-F238E27FC236}">
              <a16:creationId xmlns:a16="http://schemas.microsoft.com/office/drawing/2014/main" id="{4EC3B69D-C785-4F5E-9213-464CF531DF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342900</xdr:colOff>
      <xdr:row>2</xdr:row>
      <xdr:rowOff>63500</xdr:rowOff>
    </xdr:from>
    <xdr:to>
      <xdr:col>2</xdr:col>
      <xdr:colOff>469900</xdr:colOff>
      <xdr:row>6</xdr:row>
      <xdr:rowOff>107950</xdr:rowOff>
    </xdr:to>
    <xdr:pic>
      <xdr:nvPicPr>
        <xdr:cNvPr id="5" name="Graphic 4" descr="Home with solid fill">
          <a:hlinkClick xmlns:r="http://schemas.openxmlformats.org/officeDocument/2006/relationships" r:id="rId2"/>
          <a:extLst>
            <a:ext uri="{FF2B5EF4-FFF2-40B4-BE49-F238E27FC236}">
              <a16:creationId xmlns:a16="http://schemas.microsoft.com/office/drawing/2014/main" id="{EB39B3AE-F759-495D-A517-34CE6765918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52500" y="431800"/>
          <a:ext cx="736600" cy="7810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19050</xdr:colOff>
      <xdr:row>2</xdr:row>
      <xdr:rowOff>6350</xdr:rowOff>
    </xdr:from>
    <xdr:to>
      <xdr:col>15</xdr:col>
      <xdr:colOff>57150</xdr:colOff>
      <xdr:row>20</xdr:row>
      <xdr:rowOff>6350</xdr:rowOff>
    </xdr:to>
    <xdr:graphicFrame macro="">
      <xdr:nvGraphicFramePr>
        <xdr:cNvPr id="3" name="Chart 2">
          <a:extLst>
            <a:ext uri="{FF2B5EF4-FFF2-40B4-BE49-F238E27FC236}">
              <a16:creationId xmlns:a16="http://schemas.microsoft.com/office/drawing/2014/main" id="{53E07FD5-C49D-4428-9B74-09ABFE1564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0.04519</cdr:x>
      <cdr:y>0.00192</cdr:y>
    </cdr:from>
    <cdr:to>
      <cdr:x>0.13111</cdr:x>
      <cdr:y>0.23755</cdr:y>
    </cdr:to>
    <cdr:pic>
      <cdr:nvPicPr>
        <cdr:cNvPr id="2" name="Graphic 4"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EB39B3AE-F759-495D-A517-34CE6765918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387350" y="6350"/>
          <a:ext cx="736600" cy="78105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1</xdr:col>
      <xdr:colOff>6350</xdr:colOff>
      <xdr:row>2</xdr:row>
      <xdr:rowOff>25400</xdr:rowOff>
    </xdr:from>
    <xdr:to>
      <xdr:col>15</xdr:col>
      <xdr:colOff>6350</xdr:colOff>
      <xdr:row>20</xdr:row>
      <xdr:rowOff>12700</xdr:rowOff>
    </xdr:to>
    <xdr:graphicFrame macro="">
      <xdr:nvGraphicFramePr>
        <xdr:cNvPr id="2" name="Chart 1">
          <a:extLst>
            <a:ext uri="{FF2B5EF4-FFF2-40B4-BE49-F238E27FC236}">
              <a16:creationId xmlns:a16="http://schemas.microsoft.com/office/drawing/2014/main" id="{06D63133-18B0-4B37-A940-5D22773F6D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0.05506</cdr:x>
      <cdr:y>0.01731</cdr:y>
    </cdr:from>
    <cdr:to>
      <cdr:x>0.14137</cdr:x>
      <cdr:y>0.25385</cdr:y>
    </cdr:to>
    <cdr:pic>
      <cdr:nvPicPr>
        <cdr:cNvPr id="2" name="Graphic 4"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8C59CFB1-D58F-50D8-51A3-1CCA76AFBEF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469900" y="57150"/>
          <a:ext cx="736600" cy="78105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refreshedDate="46290.928957870368" createdVersion="5" refreshedVersion="8" minRefreshableVersion="3" recordCount="0" supportSubquery="1" supportAdvancedDrill="1" xr:uid="{AF1A187F-163B-4079-B8FD-C12E01CDAF05}">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1">
        <s v="1-Aug"/>
        <s v="2-Aug"/>
        <s v="3-Aug"/>
        <s v="4-Aug"/>
        <s v="5-Aug"/>
        <s v="6-Aug"/>
        <s v="7-Aug"/>
        <s v="8-Aug"/>
        <s v="9-Aug"/>
        <s v="10-Aug"/>
        <s v="11-Aug"/>
        <s v="12-Aug"/>
        <s v="13-Aug"/>
        <s v="14-Aug"/>
        <s v="15-Aug"/>
        <s v="16-Aug"/>
        <s v="17-Aug"/>
        <s v="18-Aug"/>
        <s v="19-Aug"/>
        <s v="20-Aug"/>
        <s v="21-Aug"/>
        <s v="22-Aug"/>
        <s v="23-Aug"/>
        <s v="24-Aug"/>
        <s v="25-Aug"/>
        <s v="26-Aug"/>
        <s v="27-Aug"/>
        <s v="28-Aug"/>
        <s v="29-Aug"/>
        <s v="30-Aug"/>
        <s v="31-Aug"/>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refreshedDate="46290.928959143515" createdVersion="5" refreshedVersion="8" minRefreshableVersion="3" recordCount="0" supportSubquery="1" supportAdvancedDrill="1" xr:uid="{0D2249D8-D182-4F1D-9842-4C820CEAC779}">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refreshedDate="46290.928960300924" createdVersion="5" refreshedVersion="8" minRefreshableVersion="3" recordCount="0" supportSubquery="1" supportAdvancedDrill="1" xr:uid="{50AE7FB9-BB1F-4CC3-B3AA-180F48B423F7}">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refreshedDate="46290.928961574071" createdVersion="5" refreshedVersion="8" minRefreshableVersion="3" recordCount="0" supportSubquery="1" supportAdvancedDrill="1" xr:uid="{49AF2D95-60D2-4FAD-9829-3CCA57537590}">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refreshedDate="46290.928963194441" createdVersion="5" refreshedVersion="8" minRefreshableVersion="3" recordCount="0" supportSubquery="1" supportAdvancedDrill="1" xr:uid="{21301357-938E-489C-B0A4-21CE95E787F5}">
  <cacheSource type="external" connectionId="3"/>
  <cacheFields count="4">
    <cacheField name="[Calender_Table].[Date (Day)].[Date (Day)]" caption="Date (Day)" numFmtId="0" hierarchy="2" level="1">
      <sharedItems count="31">
        <s v="1-Aug"/>
        <s v="2-Aug"/>
        <s v="3-Aug"/>
        <s v="4-Aug"/>
        <s v="5-Aug"/>
        <s v="6-Aug"/>
        <s v="7-Aug"/>
        <s v="8-Aug"/>
        <s v="9-Aug"/>
        <s v="10-Aug"/>
        <s v="11-Aug"/>
        <s v="12-Aug"/>
        <s v="13-Aug"/>
        <s v="14-Aug"/>
        <s v="15-Aug"/>
        <s v="16-Aug"/>
        <s v="17-Aug"/>
        <s v="18-Aug"/>
        <s v="19-Aug"/>
        <s v="20-Aug"/>
        <s v="21-Aug"/>
        <s v="22-Aug"/>
        <s v="23-Aug"/>
        <s v="24-Aug"/>
        <s v="25-Aug"/>
        <s v="26-Aug"/>
        <s v="27-Aug"/>
        <s v="28-Aug"/>
        <s v="29-Aug"/>
        <s v="30-Aug"/>
        <s v="31-Aug"/>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refreshedDate="46290.928964814811" createdVersion="5" refreshedVersion="8" minRefreshableVersion="3" recordCount="0" supportSubquery="1" supportAdvancedDrill="1" xr:uid="{0C0CE956-371A-43C5-988A-F9CED0B26DA1}">
  <cacheSource type="external" connectionId="3"/>
  <cacheFields count="4">
    <cacheField name="[Calender_Table].[Date (Day)].[Date (Day)]" caption="Date (Day)" numFmtId="0" hierarchy="2" level="1">
      <sharedItems count="30">
        <s v="1-Aug"/>
        <s v="2-Aug"/>
        <s v="3-Aug"/>
        <s v="4-Aug"/>
        <s v="5-Aug"/>
        <s v="6-Aug"/>
        <s v="8-Aug"/>
        <s v="9-Aug"/>
        <s v="10-Aug"/>
        <s v="11-Aug"/>
        <s v="12-Aug"/>
        <s v="13-Aug"/>
        <s v="14-Aug"/>
        <s v="15-Aug"/>
        <s v="16-Aug"/>
        <s v="17-Aug"/>
        <s v="18-Aug"/>
        <s v="19-Aug"/>
        <s v="20-Aug"/>
        <s v="21-Aug"/>
        <s v="22-Aug"/>
        <s v="23-Aug"/>
        <s v="24-Aug"/>
        <s v="25-Aug"/>
        <s v="26-Aug"/>
        <s v="27-Aug"/>
        <s v="28-Aug"/>
        <s v="29-Aug"/>
        <s v="30-Aug"/>
        <s v="31-Aug"/>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refreshedDate="46290.928966319443" createdVersion="5" refreshedVersion="8" minRefreshableVersion="3" recordCount="0" supportSubquery="1" supportAdvancedDrill="1" xr:uid="{2B054ECC-0382-486A-945A-72BEBDB41B88}">
  <cacheSource type="external" connectionId="3"/>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32" level="32767"/>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Unsupported0" numFmtId="0" hierarchy="37" level="32767">
      <extLst>
        <ext xmlns:x14="http://schemas.microsoft.com/office/spreadsheetml/2009/9/main" uri="{63CAB8AC-B538-458d-9737-405883B0398D}">
          <x14:cacheField ignore="1"/>
        </ext>
      </extLst>
    </cacheField>
  </cacheFields>
  <cacheHierarchies count="38">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refreshedDate="46290.928966898151" createdVersion="5" refreshedVersion="8" minRefreshableVersion="3" recordCount="0" supportSubquery="1" supportAdvancedDrill="1" xr:uid="{493A143B-01A6-4185-A7E1-425A653AA110}">
  <cacheSource type="external" connectionId="3"/>
  <cacheFields count="4">
    <cacheField name="[Calender_Table].[Date (Month)].[Date (Month)]" caption="Date (Month)" numFmtId="0" hierarchy="1" level="1">
      <sharedItems containsSemiMixedTypes="0" containsNonDate="0" containsString="0"/>
    </cacheField>
    <cacheField name="[Measures].[Count of Age Group]" caption="Count of Age Group" numFmtId="0" hierarchy="33" level="32767"/>
    <cacheField name="[Hospital Emergency Room Data].[Age Group].[Age Group]" caption="Age Group" numFmtId="0" hierarchy="16" level="1">
      <sharedItems count="8">
        <s v="0-09"/>
        <s v="10-19"/>
        <s v="20-29"/>
        <s v="30-39"/>
        <s v="40-49"/>
        <s v="50-59"/>
        <s v="60-69"/>
        <s v="70-79"/>
      </sharedItems>
    </cacheField>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refreshedDate="46290.928967476852" createdVersion="5" refreshedVersion="8" minRefreshableVersion="3" recordCount="0" supportSubquery="1" supportAdvancedDrill="1" xr:uid="{4F8B8CFD-16ED-46D2-AAA4-53FA0861DF9B}">
  <cacheSource type="external" connectionId="3"/>
  <cacheFields count="4">
    <cacheField name="[Calender_Table].[Date (Month)].[Date (Month)]" caption="Date (Month)" numFmtId="0" hierarchy="1" level="1">
      <sharedItems containsSemiMixedTypes="0" containsNonDate="0" containsString="0"/>
    </cacheField>
    <cacheField name="[Measures].[Count of Patient Gender]" caption="Count of Patient Gender" numFmtId="0" hierarchy="35" level="32767"/>
    <cacheField name="[Hospital Emergency Room Data].[Patient Gender].[Patient Gender]" caption="Patient Gender" numFmtId="0" hierarchy="9" level="1">
      <sharedItems count="2">
        <s v="Female"/>
        <s v="Male"/>
      </sharedItems>
    </cacheField>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refreshedDate="46290.928968055552" createdVersion="5" refreshedVersion="8" minRefreshableVersion="3" recordCount="0" supportSubquery="1" supportAdvancedDrill="1" xr:uid="{7A087218-09F4-48A8-AD73-44A108D3F589}">
  <cacheSource type="external" connectionId="3"/>
  <cacheFields count="4">
    <cacheField name="[Calender_Table].[Date (Month)].[Date (Month)]" caption="Date (Month)" numFmtId="0" hierarchy="1" level="1">
      <sharedItems containsSemiMixedTypes="0" containsNonDate="0" containsString="0"/>
    </cacheField>
    <cacheField name="[Hospital Emergency Room Data].[Calculated Column 1].[Calculated Column 1]" caption="Calculated Column 1" numFmtId="0" hierarchy="17" level="1">
      <sharedItems count="2">
        <s v="Delay"/>
        <s v="OnTime"/>
      </sharedItems>
    </cacheField>
    <cacheField name="[Measures].[Count of Calculated Column 1]" caption="Count of Calculated Column 1" numFmtId="0" hierarchy="34" level="32767"/>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refreshedDate="46290.928968518521" createdVersion="5" refreshedVersion="8" minRefreshableVersion="3" recordCount="0" supportSubquery="1" supportAdvancedDrill="1" xr:uid="{9E53C58C-1CB7-45A3-A46B-CC8CB836A558}">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6" level="32767"/>
    <cacheField name="[Calender_Table].[Date (Year)].[Date (Year)]" caption="Date (Year)"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refreshedDate="46290.928969097222" createdVersion="5" refreshedVersion="8" minRefreshableVersion="3" recordCount="0" supportSubquery="1" supportAdvancedDrill="1" xr:uid="{B24440F7-3C3F-48BE-B3E5-C11ED2D15F9E}">
  <cacheSource type="external" connectionId="3"/>
  <cacheFields count="4">
    <cacheField name="[Calender_Table].[Date (Month)].[Date (Month)]" caption="Date (Month)" numFmtId="0" hierarchy="1" level="1">
      <sharedItems count="1">
        <s v="Jul"/>
      </sharedItems>
    </cacheField>
    <cacheField name="[Calender_Table].[Date].[Date]" caption="Date" numFmtId="0" level="1">
      <sharedItems containsSemiMixedTypes="0" containsNonDate="0" containsDate="1" containsString="0" minDate="2023-07-01T00:00:00" maxDate="2024-08-01T00:00:00" count="62">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sharedItems>
    </cacheField>
    <cacheField name="[Calender_Table].[Date (Quarter)].[Date (Quarter)]" caption="Date (Quarter)" numFmtId="0" hierarchy="4" level="1">
      <sharedItems count="1">
        <s v="Qtr3"/>
      </sharedItems>
    </cacheField>
    <cacheField name="[Calender_Table].[Date (Year)].[Date (Year)]" caption="Date (Year)" numFmtId="0" hierarchy="3" level="1">
      <sharedItems count="1">
        <s v="2024"/>
      </sharedItems>
    </cacheField>
  </cacheFields>
  <cacheHierarchies count="37">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refreshedDate="46290.895613541667" createdVersion="3" refreshedVersion="8" minRefreshableVersion="3" recordCount="0" supportSubquery="1" supportAdvancedDrill="1" xr:uid="{64E5CCEE-FD77-4F2E-AFD0-ADDF2B1199D3}">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6234801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56AE8F-EEDA-4650-AFA5-354421CE7682}" name="PivotTable4" cacheId="3342" applyNumberFormats="0" applyBorderFormats="0" applyFontFormats="0" applyPatternFormats="0" applyAlignmentFormats="0" applyWidthHeightFormats="1" dataCaption="Values" tag="f61b2415-a26b-46ac-85ba-ca72926d0ff3" updatedVersion="8" minRefreshableVersion="3" useAutoFormatting="1" itemPrintTitles="1" createdVersion="5" indent="0" outline="1" outlineData="1" multipleFieldFilters="0" chartFormat="36">
  <location ref="M5:N36"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1600">
      <pivotArea outline="0" collapsedLevelsAreSubtotals="1" fieldPosition="0"/>
    </format>
  </formats>
  <chartFormats count="3">
    <chartFormat chart="29" format="1"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7E5A8D-8D8F-42C6-976C-1F8C090DC65F}" name="PivotTable10" cacheId="3354" applyNumberFormats="0" applyBorderFormats="0" applyFontFormats="0" applyPatternFormats="0" applyAlignmentFormats="0" applyWidthHeightFormats="1" dataCaption="Values" tag="19225479-d068-4fae-b117-31234a9f8476" updatedVersion="8" minRefreshableVersion="3" itemPrintTitles="1" createdVersion="5" indent="0" outline="1" outlineData="1" multipleFieldFilters="0" chartFormat="8">
  <location ref="A39:B4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Calculated Column 1" fld="2" subtotal="count" baseField="0" baseItem="0"/>
  </dataFields>
  <formats count="3">
    <format dxfId="1603">
      <pivotArea outline="0" collapsedLevelsAreSubtotals="1" fieldPosition="0"/>
    </format>
    <format dxfId="1602">
      <pivotArea grandRow="1" outline="0" collapsedLevelsAreSubtotals="1" fieldPosition="0"/>
    </format>
    <format dxfId="1601">
      <pivotArea collapsedLevelsAreSubtotals="1" fieldPosition="0">
        <references count="1">
          <reference field="1" count="0"/>
        </references>
      </pivotArea>
    </format>
  </formats>
  <chartFormats count="4">
    <chartFormat chart="4"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6" format="6">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77F0BC-622B-42AD-A918-F12BD4D28E09}" name="PivotTable3" cacheId="3336" applyNumberFormats="0" applyBorderFormats="0" applyFontFormats="0" applyPatternFormats="0" applyAlignmentFormats="0" applyWidthHeightFormats="1" dataCaption="Values" tag="19225479-d068-4fae-b117-31234a9f8476" updatedVersion="8" minRefreshableVersion="3" useAutoFormatting="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1604">
      <pivotArea outline="0" collapsedLevelsAreSubtotals="1" fieldPosition="0"/>
    </format>
  </formats>
  <pivotHierarchies count="37">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0C0C5E-24EA-4E11-9A61-EDB9C423643E}" name="PivotTable2" cacheId="3333" applyNumberFormats="0" applyBorderFormats="0" applyFontFormats="0" applyPatternFormats="0" applyAlignmentFormats="0" applyWidthHeightFormats="1" dataCaption="Values" tag="4c973cf7-ebb3-4703-84bd-33a742794270" updatedVersion="8" minRefreshableVersion="3" useAutoFormatting="1" itemPrintTitles="1" createdVersion="5"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605">
      <pivotArea outline="0" collapsedLevelsAreSubtotals="1" fieldPosition="0"/>
    </format>
  </formats>
  <pivotHierarchies count="37">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356AE8-3E11-402D-AA0C-728DD42AFE4C}" name="PivotTable9" cacheId="3351" applyNumberFormats="0" applyBorderFormats="0" applyFontFormats="0" applyPatternFormats="0" applyAlignmentFormats="0" applyWidthHeightFormats="1" dataCaption="Values" tag="19225479-d068-4fae-b117-31234a9f8476" updatedVersion="8" minRefreshableVersion="3" itemPrintTitles="1" createdVersion="5" indent="0" outline="1" outlineData="1" multipleFieldFilters="0" chartFormat="12">
  <location ref="A45:B48"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1" subtotal="count" baseField="0" baseItem="0"/>
  </dataFields>
  <formats count="3">
    <format dxfId="1608">
      <pivotArea outline="0" collapsedLevelsAreSubtotals="1" fieldPosition="0"/>
    </format>
    <format dxfId="1607">
      <pivotArea grandRow="1" outline="0" collapsedLevelsAreSubtotals="1" fieldPosition="0"/>
    </format>
    <format dxfId="1606">
      <pivotArea collapsedLevelsAreSubtotals="1" fieldPosition="0">
        <references count="1">
          <reference field="2" count="0"/>
        </references>
      </pivotArea>
    </format>
  </formats>
  <chartFormats count="6">
    <chartFormat chart="6" format="7"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2" count="1" selected="0">
            <x v="0"/>
          </reference>
        </references>
      </pivotArea>
    </chartFormat>
    <chartFormat chart="11" format="6">
      <pivotArea type="data" outline="0" fieldPosition="0">
        <references count="2">
          <reference field="4294967294" count="1" selected="0">
            <x v="0"/>
          </reference>
          <reference field="2" count="1" selected="0">
            <x v="1"/>
          </reference>
        </references>
      </pivotArea>
    </chartFormat>
    <chartFormat chart="6" format="8">
      <pivotArea type="data" outline="0" fieldPosition="0">
        <references count="2">
          <reference field="4294967294" count="1" selected="0">
            <x v="0"/>
          </reference>
          <reference field="2" count="1" selected="0">
            <x v="0"/>
          </reference>
        </references>
      </pivotArea>
    </chartFormat>
    <chartFormat chart="6" format="9">
      <pivotArea type="data" outline="0" fieldPosition="0">
        <references count="2">
          <reference field="4294967294" count="1" selected="0">
            <x v="0"/>
          </reference>
          <reference field="2" count="1" selected="0">
            <x v="1"/>
          </reference>
        </references>
      </pivotArea>
    </chartFormat>
  </chartFormats>
  <pivotHierarchies count="37">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79FE78-2ED2-428B-AB12-9CC682C0A4D0}" name="PivotTable1" cacheId="3330" applyNumberFormats="0" applyBorderFormats="0" applyFontFormats="0" applyPatternFormats="0" applyAlignmentFormats="0" applyWidthHeightFormats="1" dataCaption="Values" tag="97dc1738-19fd-4140-85b5-b87a075094c9" updatedVersion="8" minRefreshableVersion="3" useAutoFormatting="1" itemPrintTitles="1" createdVersion="5"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7">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6DD007-E182-48A5-9F9A-1AC2F5275F2D}" name="PivotTable8" cacheId="3348" applyNumberFormats="0" applyBorderFormats="0" applyFontFormats="0" applyPatternFormats="0" applyAlignmentFormats="0" applyWidthHeightFormats="1" dataCaption="Values" tag="19225479-d068-4fae-b117-31234a9f8476" updatedVersion="8" minRefreshableVersion="3" itemPrintTitles="1" createdVersion="5" indent="0" outline="1" outlineData="1" multipleFieldFilters="0" chartFormat="4">
  <location ref="A25:B34"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1" subtotal="count" baseField="0" baseItem="0"/>
  </dataFields>
  <formats count="3">
    <format dxfId="1611">
      <pivotArea outline="0" collapsedLevelsAreSubtotals="1" fieldPosition="0"/>
    </format>
    <format dxfId="1610">
      <pivotArea collapsedLevelsAreSubtotals="1" fieldPosition="0">
        <references count="1">
          <reference field="2" count="0"/>
        </references>
      </pivotArea>
    </format>
    <format dxfId="1609">
      <pivotArea grandRow="1"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7FFD59F-BA6B-4E2D-A324-F24E1F3E4185}" name="PivotTable6" cacheId="3339" applyNumberFormats="0" applyBorderFormats="0" applyFontFormats="0" applyPatternFormats="0" applyAlignmentFormats="0" applyWidthHeightFormats="1" dataCaption="Values" tag="f61b2415-a26b-46ac-85ba-ca72926d0ff3" updatedVersion="8" minRefreshableVersion="3" useAutoFormatting="1" itemPrintTitles="1" createdVersion="5" indent="0" outline="1" outlineData="1" multipleFieldFilters="0" chartFormat="28">
  <location ref="J6:K38"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1612">
      <pivotArea outline="0" collapsedLevelsAreSubtotals="1" fieldPosition="0"/>
    </format>
  </formats>
  <chartFormats count="4">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9" format="8" series="1">
      <pivotArea type="data" outline="0" fieldPosition="0">
        <references count="1">
          <reference field="4294967294" count="1" selected="0">
            <x v="0"/>
          </reference>
        </references>
      </pivotArea>
    </chartFormat>
    <chartFormat chart="26" format="11"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A993758-FE2F-476E-910C-9627E2679C4D}" name="PivotTable7" cacheId="3345" applyNumberFormats="0" applyBorderFormats="0" applyFontFormats="0" applyPatternFormats="0" applyAlignmentFormats="0" applyWidthHeightFormats="1" dataCaption="Values" tag="19225479-d068-4fae-b117-31234a9f8476" updatedVersion="8" minRefreshableVersion="3" itemPrintTitles="1" createdVersion="5" indent="0" outline="1" outlineData="1" multipleFieldFilters="0" chartFormat="1">
  <location ref="A16:C19"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1614">
      <pivotArea outline="0" collapsedLevelsAreSubtotals="1" fieldPosition="0"/>
    </format>
    <format dxfId="1613">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8">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FFF5228-9C11-4072-AE0C-3E7FDF8AA88A}" name="PivotTable12" cacheId="3360" applyNumberFormats="0" applyBorderFormats="0" applyFontFormats="0" applyPatternFormats="0" applyAlignmentFormats="0" applyWidthHeightFormats="1" dataCaption="Values" tag="19225479-d068-4fae-b117-31234a9f8476" updatedVersion="8" minRefreshableVersion="3" itemPrintTitles="1" createdVersion="5" indent="0" outline="1" outlineData="1" multipleFieldFilters="0" chartFormat="8">
  <location ref="E47:E49"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2">
    <format dxfId="1616">
      <pivotArea outline="0" collapsedLevelsAreSubtotals="1" fieldPosition="0"/>
    </format>
    <format dxfId="1615">
      <pivotArea grandRow="1" outline="0" collapsedLevelsAreSubtotals="1" fieldPosition="0"/>
    </format>
  </formats>
  <pivotHierarchies count="37">
    <pivotHierarchy dragToData="1"/>
    <pivotHierarchy multipleItemSelectionAllowed="1" dragToData="1">
      <members count="1" level="1">
        <member name="[Calender_Table].[Date (Month)].&amp;[Aug]"/>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F459061-053F-4DCC-A4B6-C11EA838AD44}" name="PivotTable11" cacheId="3357" applyNumberFormats="0" applyBorderFormats="0" applyFontFormats="0" applyPatternFormats="0" applyAlignmentFormats="0" applyWidthHeightFormats="1" dataCaption="Values" tag="19225479-d068-4fae-b117-31234a9f8476" updatedVersion="8" minRefreshableVersion="3" itemPrintTitles="1" createdVersion="5" indent="0" outline="1" outlineData="1" multipleFieldFilters="0" chartFormat="15">
  <location ref="A51:B60"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i>
    <i>
      <x v="3"/>
    </i>
    <i>
      <x v="6"/>
    </i>
    <i>
      <x v="5"/>
    </i>
    <i>
      <x v="2"/>
    </i>
    <i>
      <x v="4"/>
    </i>
    <i t="grand">
      <x/>
    </i>
  </rowItems>
  <colItems count="1">
    <i/>
  </colItems>
  <dataFields count="1">
    <dataField name="Count of Department Referral" fld="2" subtotal="count" baseField="0" baseItem="0"/>
  </dataFields>
  <formats count="3">
    <format dxfId="1619">
      <pivotArea outline="0" collapsedLevelsAreSubtotals="1" fieldPosition="0"/>
    </format>
    <format dxfId="1618">
      <pivotArea grandRow="1" outline="0" collapsedLevelsAreSubtotals="1" fieldPosition="0"/>
    </format>
    <format dxfId="1617">
      <pivotArea collapsedLevelsAreSubtotals="1" fieldPosition="0">
        <references count="1">
          <reference field="1" count="0"/>
        </references>
      </pivotArea>
    </format>
  </formats>
  <chartFormats count="1">
    <chartFormat chart="14"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10D5077-C0C4-43AE-8F1F-139BE3999D3D}" name="PivotTable5" cacheId="3327" applyNumberFormats="0" applyBorderFormats="0" applyFontFormats="0" applyPatternFormats="0" applyAlignmentFormats="0" applyWidthHeightFormats="1" dataCaption="Values" tag="82dfe81c-f5ca-40b3-87c3-4893b6b87cd9" updatedVersion="8" minRefreshableVersion="3" useAutoFormatting="1" itemPrintTitles="1" createdVersion="5" indent="0" outline="1" outlineData="1" multipleFieldFilters="0" chartFormat="9">
  <location ref="G6:H38"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DC8C10DB-2CCB-4BE1-AA8A-C8886C522C60}" sourceName="[Calender_Table].[Date (Month)]">
  <pivotTables>
    <pivotTable tabId="2" name="PivotTable5"/>
    <pivotTable tabId="2" name="PivotTable1"/>
    <pivotTable tabId="2" name="PivotTable2"/>
    <pivotTable tabId="2" name="PivotTable3"/>
    <pivotTable tabId="2" name="PivotTable6"/>
    <pivotTable tabId="2" name="PivotTable4"/>
    <pivotTable tabId="2" name="PivotTable7"/>
    <pivotTable tabId="2" name="PivotTable8"/>
    <pivotTable tabId="2" name="PivotTable9"/>
    <pivotTable tabId="2" name="PivotTable10"/>
    <pivotTable tabId="2" name="PivotTable11"/>
    <pivotTable tabId="2" name="PivotTable12"/>
  </pivotTables>
  <data>
    <olap pivotCacheId="162348019">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Aug]"/>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D1DD77E0-AE10-497E-8345-16042CB6EAF1}" sourceName="[Calender_Table].[Date (Year)]">
  <pivotTables>
    <pivotTable tabId="2" name="PivotTable12"/>
    <pivotTable tabId="2" name="PivotTable1"/>
    <pivotTable tabId="2" name="PivotTable10"/>
    <pivotTable tabId="2" name="PivotTable1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olap pivotCacheId="162348019">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7AB58DFD-341E-443B-B8E6-56E1D1454EEA}" cache="Slicer_Date__Month" caption="Date (Month)" showCaption="0" level="1" style="MY STYLE" rowHeight="180000"/>
  <slicer name="Date (Year)" xr10:uid="{730E5882-1061-4028-AA42-36818CD97ECF}" cache="Slicer_Date__Year" caption="Date (Year)" columnCount="2" showCaption="0" level="1" style="SlicerStyleDark2" rowHeight="18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542A1-E3B9-4012-974C-6C2F8022C7EC}">
  <dimension ref="A2:N60"/>
  <sheetViews>
    <sheetView tabSelected="1" zoomScale="42" workbookViewId="0">
      <selection activeCell="E48" sqref="E48"/>
    </sheetView>
  </sheetViews>
  <sheetFormatPr defaultRowHeight="14.5" x14ac:dyDescent="0.35"/>
  <cols>
    <col min="1" max="1" width="31.90625" bestFit="1" customWidth="1"/>
    <col min="2" max="2" width="27.81640625" bestFit="1" customWidth="1"/>
    <col min="3" max="3" width="9.26953125" customWidth="1"/>
    <col min="4" max="4" width="16.08984375" customWidth="1"/>
    <col min="5" max="6" width="24.81640625" customWidth="1"/>
    <col min="7" max="7" width="12.36328125" bestFit="1" customWidth="1"/>
    <col min="8" max="8" width="23.81640625" bestFit="1" customWidth="1"/>
    <col min="9" max="9" width="15.26953125" bestFit="1" customWidth="1"/>
    <col min="10" max="10" width="12.36328125" bestFit="1" customWidth="1"/>
    <col min="11" max="11" width="24.81640625" bestFit="1" customWidth="1"/>
    <col min="12" max="12" width="15.26953125" bestFit="1" customWidth="1"/>
    <col min="13" max="13" width="12.36328125" bestFit="1" customWidth="1"/>
    <col min="14" max="14" width="31.90625" bestFit="1" customWidth="1"/>
    <col min="15" max="737" width="15.26953125" bestFit="1" customWidth="1"/>
    <col min="738" max="738" width="10.7265625" bestFit="1" customWidth="1"/>
  </cols>
  <sheetData>
    <row r="2" spans="1:14" x14ac:dyDescent="0.35">
      <c r="A2" t="s">
        <v>1</v>
      </c>
    </row>
    <row r="3" spans="1:14" x14ac:dyDescent="0.35">
      <c r="A3" t="s">
        <v>0</v>
      </c>
    </row>
    <row r="4" spans="1:14" x14ac:dyDescent="0.35">
      <c r="A4" s="13">
        <v>530</v>
      </c>
      <c r="M4" t="s">
        <v>8</v>
      </c>
    </row>
    <row r="5" spans="1:14" x14ac:dyDescent="0.35">
      <c r="G5" t="s">
        <v>6</v>
      </c>
      <c r="J5" t="s">
        <v>7</v>
      </c>
      <c r="M5" s="3" t="s">
        <v>4</v>
      </c>
      <c r="N5" t="s">
        <v>3</v>
      </c>
    </row>
    <row r="6" spans="1:14" x14ac:dyDescent="0.35">
      <c r="G6" s="3" t="s">
        <v>4</v>
      </c>
      <c r="H6" t="s">
        <v>0</v>
      </c>
      <c r="J6" s="3" t="s">
        <v>4</v>
      </c>
      <c r="K6" t="s">
        <v>2</v>
      </c>
      <c r="M6" s="4" t="s">
        <v>44</v>
      </c>
      <c r="N6" s="1">
        <v>4.5</v>
      </c>
    </row>
    <row r="7" spans="1:14" x14ac:dyDescent="0.35">
      <c r="A7" t="s">
        <v>2</v>
      </c>
      <c r="G7" s="4" t="s">
        <v>44</v>
      </c>
      <c r="H7" s="13">
        <v>28</v>
      </c>
      <c r="J7" s="4" t="s">
        <v>44</v>
      </c>
      <c r="K7" s="1">
        <v>35.285714285714285</v>
      </c>
      <c r="M7" s="4" t="s">
        <v>45</v>
      </c>
      <c r="N7" s="1">
        <v>4.666666666666667</v>
      </c>
    </row>
    <row r="8" spans="1:14" x14ac:dyDescent="0.35">
      <c r="A8" s="1">
        <v>35.113207547169814</v>
      </c>
      <c r="G8" s="4" t="s">
        <v>45</v>
      </c>
      <c r="H8" s="13">
        <v>19</v>
      </c>
      <c r="J8" s="4" t="s">
        <v>45</v>
      </c>
      <c r="K8" s="1">
        <v>31.842105263157894</v>
      </c>
      <c r="M8" s="4" t="s">
        <v>46</v>
      </c>
      <c r="N8" s="1">
        <v>7.4</v>
      </c>
    </row>
    <row r="9" spans="1:14" x14ac:dyDescent="0.35">
      <c r="G9" s="4" t="s">
        <v>46</v>
      </c>
      <c r="H9" s="13">
        <v>14</v>
      </c>
      <c r="J9" s="4" t="s">
        <v>46</v>
      </c>
      <c r="K9" s="1">
        <v>34.714285714285715</v>
      </c>
      <c r="M9" s="4" t="s">
        <v>47</v>
      </c>
      <c r="N9" s="1">
        <v>4.5</v>
      </c>
    </row>
    <row r="10" spans="1:14" x14ac:dyDescent="0.35">
      <c r="G10" s="4" t="s">
        <v>47</v>
      </c>
      <c r="H10" s="13">
        <v>17</v>
      </c>
      <c r="J10" s="4" t="s">
        <v>47</v>
      </c>
      <c r="K10" s="1">
        <v>42.823529411764703</v>
      </c>
      <c r="M10" s="4" t="s">
        <v>48</v>
      </c>
      <c r="N10" s="1">
        <v>4.8</v>
      </c>
    </row>
    <row r="11" spans="1:14" x14ac:dyDescent="0.35">
      <c r="A11" t="s">
        <v>3</v>
      </c>
      <c r="G11" s="4" t="s">
        <v>48</v>
      </c>
      <c r="H11" s="13">
        <v>19</v>
      </c>
      <c r="J11" s="4" t="s">
        <v>48</v>
      </c>
      <c r="K11" s="1">
        <v>32.157894736842103</v>
      </c>
      <c r="M11" s="4" t="s">
        <v>49</v>
      </c>
      <c r="N11" s="1">
        <v>4.75</v>
      </c>
    </row>
    <row r="12" spans="1:14" x14ac:dyDescent="0.35">
      <c r="A12" s="1">
        <v>5.1769911504424782</v>
      </c>
      <c r="G12" s="4" t="s">
        <v>49</v>
      </c>
      <c r="H12" s="13">
        <v>12</v>
      </c>
      <c r="J12" s="4" t="s">
        <v>49</v>
      </c>
      <c r="K12" s="1">
        <v>34.833333333333336</v>
      </c>
      <c r="M12" s="4" t="s">
        <v>51</v>
      </c>
      <c r="N12" s="1">
        <v>2.25</v>
      </c>
    </row>
    <row r="13" spans="1:14" x14ac:dyDescent="0.35">
      <c r="G13" s="4" t="s">
        <v>50</v>
      </c>
      <c r="H13" s="13">
        <v>10</v>
      </c>
      <c r="J13" s="4" t="s">
        <v>50</v>
      </c>
      <c r="K13" s="1">
        <v>33.4</v>
      </c>
      <c r="M13" s="4" t="s">
        <v>52</v>
      </c>
      <c r="N13" s="1">
        <v>4</v>
      </c>
    </row>
    <row r="14" spans="1:14" x14ac:dyDescent="0.35">
      <c r="G14" s="4" t="s">
        <v>51</v>
      </c>
      <c r="H14" s="13">
        <v>20</v>
      </c>
      <c r="J14" s="4" t="s">
        <v>51</v>
      </c>
      <c r="K14" s="1">
        <v>28.15</v>
      </c>
      <c r="M14" s="4" t="s">
        <v>53</v>
      </c>
      <c r="N14" s="1">
        <v>6.666666666666667</v>
      </c>
    </row>
    <row r="15" spans="1:14" x14ac:dyDescent="0.35">
      <c r="G15" s="4" t="s">
        <v>52</v>
      </c>
      <c r="H15" s="13">
        <v>12</v>
      </c>
      <c r="J15" s="4" t="s">
        <v>52</v>
      </c>
      <c r="K15" s="1">
        <v>31.333333333333332</v>
      </c>
      <c r="M15" s="4" t="s">
        <v>54</v>
      </c>
      <c r="N15" s="1">
        <v>2.6666666666666665</v>
      </c>
    </row>
    <row r="16" spans="1:14" x14ac:dyDescent="0.35">
      <c r="A16" s="3" t="s">
        <v>4</v>
      </c>
      <c r="B16" t="s">
        <v>9</v>
      </c>
      <c r="C16" t="s">
        <v>12</v>
      </c>
      <c r="G16" s="4" t="s">
        <v>53</v>
      </c>
      <c r="H16" s="13">
        <v>24</v>
      </c>
      <c r="J16" s="4" t="s">
        <v>53</v>
      </c>
      <c r="K16" s="1">
        <v>37.375</v>
      </c>
      <c r="M16" s="4" t="s">
        <v>55</v>
      </c>
      <c r="N16" s="1">
        <v>3.6666666666666665</v>
      </c>
    </row>
    <row r="17" spans="1:14" x14ac:dyDescent="0.35">
      <c r="A17" s="4" t="s">
        <v>10</v>
      </c>
      <c r="B17" s="1">
        <v>242</v>
      </c>
      <c r="C17" s="7">
        <v>0.45660377358490567</v>
      </c>
      <c r="G17" s="4" t="s">
        <v>54</v>
      </c>
      <c r="H17" s="13">
        <v>16</v>
      </c>
      <c r="J17" s="4" t="s">
        <v>54</v>
      </c>
      <c r="K17" s="1">
        <v>36.0625</v>
      </c>
      <c r="M17" s="4" t="s">
        <v>56</v>
      </c>
      <c r="N17" s="1">
        <v>4</v>
      </c>
    </row>
    <row r="18" spans="1:14" x14ac:dyDescent="0.35">
      <c r="A18" s="4" t="s">
        <v>11</v>
      </c>
      <c r="B18" s="1">
        <v>288</v>
      </c>
      <c r="C18" s="7">
        <v>0.54339622641509433</v>
      </c>
      <c r="G18" s="4" t="s">
        <v>55</v>
      </c>
      <c r="H18" s="13">
        <v>16</v>
      </c>
      <c r="J18" s="4" t="s">
        <v>55</v>
      </c>
      <c r="K18" s="1">
        <v>40.5</v>
      </c>
      <c r="M18" s="4" t="s">
        <v>57</v>
      </c>
      <c r="N18" s="1">
        <v>7.5</v>
      </c>
    </row>
    <row r="19" spans="1:14" x14ac:dyDescent="0.35">
      <c r="A19" s="4" t="s">
        <v>5</v>
      </c>
      <c r="B19" s="1">
        <v>530</v>
      </c>
      <c r="C19" s="7">
        <v>1</v>
      </c>
      <c r="G19" s="4" t="s">
        <v>56</v>
      </c>
      <c r="H19" s="13">
        <v>14</v>
      </c>
      <c r="J19" s="4" t="s">
        <v>56</v>
      </c>
      <c r="K19" s="1">
        <v>39.571428571428569</v>
      </c>
      <c r="M19" s="4" t="s">
        <v>58</v>
      </c>
      <c r="N19" s="1">
        <v>5.5</v>
      </c>
    </row>
    <row r="20" spans="1:14" x14ac:dyDescent="0.35">
      <c r="A20" s="4" t="s">
        <v>26</v>
      </c>
      <c r="G20" s="4" t="s">
        <v>57</v>
      </c>
      <c r="H20" s="13">
        <v>12</v>
      </c>
      <c r="J20" s="4" t="s">
        <v>57</v>
      </c>
      <c r="K20" s="1">
        <v>30.25</v>
      </c>
      <c r="M20" s="4" t="s">
        <v>59</v>
      </c>
      <c r="N20" s="1">
        <v>7.5</v>
      </c>
    </row>
    <row r="21" spans="1:14" x14ac:dyDescent="0.35">
      <c r="A21" s="9" t="s">
        <v>15</v>
      </c>
      <c r="B21" s="9" t="s">
        <v>14</v>
      </c>
      <c r="C21" s="9" t="s">
        <v>13</v>
      </c>
      <c r="D21" s="9"/>
      <c r="G21" s="4" t="s">
        <v>58</v>
      </c>
      <c r="H21" s="13">
        <v>18</v>
      </c>
      <c r="J21" s="4" t="s">
        <v>58</v>
      </c>
      <c r="K21" s="1">
        <v>39.722222222222221</v>
      </c>
      <c r="M21" s="4" t="s">
        <v>60</v>
      </c>
      <c r="N21" s="1">
        <v>5</v>
      </c>
    </row>
    <row r="22" spans="1:14" x14ac:dyDescent="0.35">
      <c r="A22" s="10" t="str">
        <f>A18</f>
        <v>Not Admitted</v>
      </c>
      <c r="B22" s="10">
        <f t="shared" ref="B22:C22" si="0">B18</f>
        <v>288</v>
      </c>
      <c r="C22" s="11">
        <f t="shared" si="0"/>
        <v>0.54339622641509433</v>
      </c>
      <c r="D22" s="6"/>
      <c r="G22" s="4" t="s">
        <v>59</v>
      </c>
      <c r="H22" s="13">
        <v>15</v>
      </c>
      <c r="J22" s="4" t="s">
        <v>59</v>
      </c>
      <c r="K22" s="1">
        <v>38.133333333333333</v>
      </c>
      <c r="M22" s="4" t="s">
        <v>61</v>
      </c>
      <c r="N22" s="1">
        <v>3.5</v>
      </c>
    </row>
    <row r="23" spans="1:14" x14ac:dyDescent="0.35">
      <c r="A23" s="10" t="str">
        <f>A17</f>
        <v>Admitted</v>
      </c>
      <c r="B23" s="10">
        <f t="shared" ref="B23:C23" si="1">B17</f>
        <v>242</v>
      </c>
      <c r="C23" s="11">
        <f t="shared" si="1"/>
        <v>0.45660377358490567</v>
      </c>
      <c r="D23" s="6"/>
      <c r="G23" s="4" t="s">
        <v>60</v>
      </c>
      <c r="H23" s="13">
        <v>25</v>
      </c>
      <c r="J23" s="4" t="s">
        <v>60</v>
      </c>
      <c r="K23" s="1">
        <v>34.08</v>
      </c>
      <c r="M23" s="4" t="s">
        <v>62</v>
      </c>
      <c r="N23" s="1">
        <v>6.5</v>
      </c>
    </row>
    <row r="24" spans="1:14" x14ac:dyDescent="0.35">
      <c r="A24" t="s">
        <v>25</v>
      </c>
      <c r="C24" s="8"/>
      <c r="G24" s="4" t="s">
        <v>61</v>
      </c>
      <c r="H24" s="13">
        <v>15</v>
      </c>
      <c r="J24" s="4" t="s">
        <v>61</v>
      </c>
      <c r="K24" s="1">
        <v>30.066666666666666</v>
      </c>
      <c r="M24" s="4" t="s">
        <v>63</v>
      </c>
      <c r="N24" s="1">
        <v>5.833333333333333</v>
      </c>
    </row>
    <row r="25" spans="1:14" x14ac:dyDescent="0.35">
      <c r="A25" s="3" t="s">
        <v>4</v>
      </c>
      <c r="B25" t="s">
        <v>16</v>
      </c>
      <c r="G25" s="4" t="s">
        <v>62</v>
      </c>
      <c r="H25" s="13">
        <v>19</v>
      </c>
      <c r="J25" s="4" t="s">
        <v>62</v>
      </c>
      <c r="K25" s="1">
        <v>33.263157894736842</v>
      </c>
      <c r="M25" s="4" t="s">
        <v>64</v>
      </c>
      <c r="N25" s="1">
        <v>4.5</v>
      </c>
    </row>
    <row r="26" spans="1:14" x14ac:dyDescent="0.35">
      <c r="A26" s="4" t="s">
        <v>17</v>
      </c>
      <c r="B26" s="12">
        <v>63</v>
      </c>
      <c r="G26" s="4" t="s">
        <v>63</v>
      </c>
      <c r="H26" s="13">
        <v>23</v>
      </c>
      <c r="J26" s="4" t="s">
        <v>63</v>
      </c>
      <c r="K26" s="1">
        <v>38.565217391304351</v>
      </c>
      <c r="M26" s="4" t="s">
        <v>65</v>
      </c>
      <c r="N26" s="1">
        <v>3.75</v>
      </c>
    </row>
    <row r="27" spans="1:14" x14ac:dyDescent="0.35">
      <c r="A27" s="4" t="s">
        <v>18</v>
      </c>
      <c r="B27" s="12">
        <v>63</v>
      </c>
      <c r="G27" s="4" t="s">
        <v>64</v>
      </c>
      <c r="H27" s="13">
        <v>10</v>
      </c>
      <c r="J27" s="4" t="s">
        <v>64</v>
      </c>
      <c r="K27" s="1">
        <v>28.6</v>
      </c>
      <c r="M27" s="4" t="s">
        <v>66</v>
      </c>
      <c r="N27" s="1">
        <v>10</v>
      </c>
    </row>
    <row r="28" spans="1:14" x14ac:dyDescent="0.35">
      <c r="A28" s="4" t="s">
        <v>19</v>
      </c>
      <c r="B28" s="12">
        <v>65</v>
      </c>
      <c r="G28" s="4" t="s">
        <v>65</v>
      </c>
      <c r="H28" s="13">
        <v>14</v>
      </c>
      <c r="J28" s="4" t="s">
        <v>65</v>
      </c>
      <c r="K28" s="1">
        <v>36.285714285714285</v>
      </c>
      <c r="M28" s="4" t="s">
        <v>67</v>
      </c>
      <c r="N28" s="1">
        <v>4</v>
      </c>
    </row>
    <row r="29" spans="1:14" x14ac:dyDescent="0.35">
      <c r="A29" s="4" t="s">
        <v>20</v>
      </c>
      <c r="B29" s="12">
        <v>60</v>
      </c>
      <c r="G29" s="4" t="s">
        <v>66</v>
      </c>
      <c r="H29" s="13">
        <v>16</v>
      </c>
      <c r="J29" s="4" t="s">
        <v>66</v>
      </c>
      <c r="K29" s="1">
        <v>40.375</v>
      </c>
      <c r="M29" s="4" t="s">
        <v>68</v>
      </c>
      <c r="N29" s="1">
        <v>8.3333333333333339</v>
      </c>
    </row>
    <row r="30" spans="1:14" x14ac:dyDescent="0.35">
      <c r="A30" s="4" t="s">
        <v>21</v>
      </c>
      <c r="B30" s="12">
        <v>65</v>
      </c>
      <c r="G30" s="4" t="s">
        <v>67</v>
      </c>
      <c r="H30" s="13">
        <v>18</v>
      </c>
      <c r="J30" s="4" t="s">
        <v>67</v>
      </c>
      <c r="K30" s="1">
        <v>34.666666666666664</v>
      </c>
      <c r="M30" s="4" t="s">
        <v>69</v>
      </c>
      <c r="N30" s="1">
        <v>3.25</v>
      </c>
    </row>
    <row r="31" spans="1:14" x14ac:dyDescent="0.35">
      <c r="A31" s="4" t="s">
        <v>22</v>
      </c>
      <c r="B31" s="12">
        <v>72</v>
      </c>
      <c r="G31" s="4" t="s">
        <v>68</v>
      </c>
      <c r="H31" s="13">
        <v>22</v>
      </c>
      <c r="J31" s="4" t="s">
        <v>68</v>
      </c>
      <c r="K31" s="1">
        <v>34.863636363636367</v>
      </c>
      <c r="M31" s="4" t="s">
        <v>70</v>
      </c>
      <c r="N31" s="1">
        <v>6</v>
      </c>
    </row>
    <row r="32" spans="1:14" x14ac:dyDescent="0.35">
      <c r="A32" s="4" t="s">
        <v>23</v>
      </c>
      <c r="B32" s="12">
        <v>73</v>
      </c>
      <c r="G32" s="4" t="s">
        <v>69</v>
      </c>
      <c r="H32" s="13">
        <v>14</v>
      </c>
      <c r="J32" s="4" t="s">
        <v>69</v>
      </c>
      <c r="K32" s="1">
        <v>30.928571428571427</v>
      </c>
      <c r="M32" s="4" t="s">
        <v>71</v>
      </c>
      <c r="N32" s="1">
        <v>6</v>
      </c>
    </row>
    <row r="33" spans="1:14" x14ac:dyDescent="0.35">
      <c r="A33" s="4" t="s">
        <v>24</v>
      </c>
      <c r="B33" s="12">
        <v>69</v>
      </c>
      <c r="G33" s="4" t="s">
        <v>70</v>
      </c>
      <c r="H33" s="13">
        <v>15</v>
      </c>
      <c r="J33" s="4" t="s">
        <v>70</v>
      </c>
      <c r="K33" s="1">
        <v>35.6</v>
      </c>
      <c r="M33" s="4" t="s">
        <v>72</v>
      </c>
      <c r="N33" s="1">
        <v>3.3333333333333335</v>
      </c>
    </row>
    <row r="34" spans="1:14" x14ac:dyDescent="0.35">
      <c r="A34" s="4" t="s">
        <v>5</v>
      </c>
      <c r="B34" s="12">
        <v>530</v>
      </c>
      <c r="G34" s="4" t="s">
        <v>71</v>
      </c>
      <c r="H34" s="13">
        <v>21</v>
      </c>
      <c r="J34" s="4" t="s">
        <v>71</v>
      </c>
      <c r="K34" s="1">
        <v>34.952380952380949</v>
      </c>
      <c r="M34" s="4" t="s">
        <v>73</v>
      </c>
      <c r="N34" s="1">
        <v>6.666666666666667</v>
      </c>
    </row>
    <row r="35" spans="1:14" x14ac:dyDescent="0.35">
      <c r="G35" s="4" t="s">
        <v>72</v>
      </c>
      <c r="H35" s="13">
        <v>17</v>
      </c>
      <c r="J35" s="4" t="s">
        <v>72</v>
      </c>
      <c r="K35" s="1">
        <v>34.411764705882355</v>
      </c>
      <c r="M35" s="4" t="s">
        <v>74</v>
      </c>
      <c r="N35" s="1">
        <v>5.625</v>
      </c>
    </row>
    <row r="36" spans="1:14" x14ac:dyDescent="0.35">
      <c r="G36" s="4" t="s">
        <v>73</v>
      </c>
      <c r="H36" s="13">
        <v>16</v>
      </c>
      <c r="J36" s="4" t="s">
        <v>73</v>
      </c>
      <c r="K36" s="1">
        <v>34</v>
      </c>
      <c r="M36" s="4" t="s">
        <v>5</v>
      </c>
      <c r="N36" s="1">
        <v>5.1769911504424782</v>
      </c>
    </row>
    <row r="37" spans="1:14" x14ac:dyDescent="0.35">
      <c r="G37" s="4" t="s">
        <v>74</v>
      </c>
      <c r="H37" s="13">
        <v>19</v>
      </c>
      <c r="J37" s="4" t="s">
        <v>74</v>
      </c>
      <c r="K37" s="1">
        <v>36.421052631578945</v>
      </c>
    </row>
    <row r="38" spans="1:14" x14ac:dyDescent="0.35">
      <c r="A38" t="s">
        <v>30</v>
      </c>
      <c r="G38" s="4" t="s">
        <v>5</v>
      </c>
      <c r="H38" s="13">
        <v>530</v>
      </c>
      <c r="J38" s="4" t="s">
        <v>5</v>
      </c>
      <c r="K38" s="1">
        <v>35.113207547169814</v>
      </c>
    </row>
    <row r="39" spans="1:14" x14ac:dyDescent="0.35">
      <c r="A39" s="3" t="s">
        <v>4</v>
      </c>
      <c r="B39" t="s">
        <v>29</v>
      </c>
    </row>
    <row r="40" spans="1:14" x14ac:dyDescent="0.35">
      <c r="A40" s="4" t="s">
        <v>27</v>
      </c>
      <c r="B40" s="12">
        <v>323</v>
      </c>
    </row>
    <row r="41" spans="1:14" x14ac:dyDescent="0.35">
      <c r="A41" s="4" t="s">
        <v>28</v>
      </c>
      <c r="B41" s="12">
        <v>207</v>
      </c>
    </row>
    <row r="42" spans="1:14" x14ac:dyDescent="0.35">
      <c r="A42" s="4" t="s">
        <v>5</v>
      </c>
      <c r="B42" s="12">
        <v>530</v>
      </c>
    </row>
    <row r="44" spans="1:14" x14ac:dyDescent="0.35">
      <c r="A44" s="4" t="s">
        <v>42</v>
      </c>
    </row>
    <row r="45" spans="1:14" x14ac:dyDescent="0.35">
      <c r="A45" s="3" t="s">
        <v>4</v>
      </c>
      <c r="B45" t="s">
        <v>41</v>
      </c>
    </row>
    <row r="46" spans="1:14" x14ac:dyDescent="0.35">
      <c r="A46" s="4" t="s">
        <v>33</v>
      </c>
      <c r="B46" s="12">
        <v>259</v>
      </c>
    </row>
    <row r="47" spans="1:14" x14ac:dyDescent="0.35">
      <c r="A47" s="4" t="s">
        <v>31</v>
      </c>
      <c r="B47" s="12">
        <v>271</v>
      </c>
      <c r="E47" s="3" t="s">
        <v>4</v>
      </c>
    </row>
    <row r="48" spans="1:14" x14ac:dyDescent="0.35">
      <c r="A48" s="4" t="s">
        <v>5</v>
      </c>
      <c r="B48" s="12">
        <v>530</v>
      </c>
      <c r="E48" s="4" t="s">
        <v>75</v>
      </c>
    </row>
    <row r="49" spans="1:5" x14ac:dyDescent="0.35">
      <c r="E49" s="4" t="s">
        <v>5</v>
      </c>
    </row>
    <row r="51" spans="1:5" x14ac:dyDescent="0.35">
      <c r="A51" s="3" t="s">
        <v>4</v>
      </c>
      <c r="B51" t="s">
        <v>43</v>
      </c>
    </row>
    <row r="52" spans="1:5" x14ac:dyDescent="0.35">
      <c r="A52" s="4" t="s">
        <v>40</v>
      </c>
      <c r="B52" s="12">
        <v>7</v>
      </c>
    </row>
    <row r="53" spans="1:5" x14ac:dyDescent="0.35">
      <c r="A53" s="4" t="s">
        <v>39</v>
      </c>
      <c r="B53" s="12">
        <v>10</v>
      </c>
    </row>
    <row r="54" spans="1:5" x14ac:dyDescent="0.35">
      <c r="A54" s="4" t="s">
        <v>37</v>
      </c>
      <c r="B54" s="12">
        <v>12</v>
      </c>
    </row>
    <row r="55" spans="1:5" x14ac:dyDescent="0.35">
      <c r="A55" s="4" t="s">
        <v>38</v>
      </c>
      <c r="B55" s="12">
        <v>14</v>
      </c>
    </row>
    <row r="56" spans="1:5" x14ac:dyDescent="0.35">
      <c r="A56" s="4" t="s">
        <v>36</v>
      </c>
      <c r="B56" s="12">
        <v>18</v>
      </c>
    </row>
    <row r="57" spans="1:5" x14ac:dyDescent="0.35">
      <c r="A57" s="4" t="s">
        <v>35</v>
      </c>
      <c r="B57" s="12">
        <v>53</v>
      </c>
    </row>
    <row r="58" spans="1:5" x14ac:dyDescent="0.35">
      <c r="A58" s="4" t="s">
        <v>34</v>
      </c>
      <c r="B58" s="12">
        <v>109</v>
      </c>
    </row>
    <row r="59" spans="1:5" x14ac:dyDescent="0.35">
      <c r="A59" s="4" t="s">
        <v>32</v>
      </c>
      <c r="B59" s="12">
        <v>307</v>
      </c>
    </row>
    <row r="60" spans="1:5" x14ac:dyDescent="0.35">
      <c r="A60" s="4" t="s">
        <v>5</v>
      </c>
      <c r="B60" s="12">
        <v>530</v>
      </c>
    </row>
  </sheetData>
  <phoneticPr fontId="3" type="noConversion"/>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13EDF-7988-404D-BEDD-92E62E3748FE}">
  <dimension ref="A1:O19"/>
  <sheetViews>
    <sheetView zoomScale="122" workbookViewId="0"/>
  </sheetViews>
  <sheetFormatPr defaultRowHeight="14.5" x14ac:dyDescent="0.35"/>
  <sheetData>
    <row r="1" spans="1:15" x14ac:dyDescent="0.35">
      <c r="A1" s="2"/>
      <c r="B1" s="2"/>
      <c r="C1" s="2"/>
      <c r="D1" s="2"/>
      <c r="E1" s="2"/>
      <c r="F1" s="2"/>
      <c r="G1" s="2"/>
      <c r="H1" s="2"/>
      <c r="I1" s="2"/>
      <c r="J1" s="2"/>
      <c r="K1" s="2"/>
      <c r="L1" s="2"/>
      <c r="M1" s="2"/>
      <c r="N1" s="2"/>
      <c r="O1" s="2"/>
    </row>
    <row r="2" spans="1:15" x14ac:dyDescent="0.35">
      <c r="A2" s="2"/>
      <c r="B2" s="2"/>
      <c r="C2" s="2"/>
      <c r="D2" s="2"/>
      <c r="E2" s="2"/>
      <c r="F2" s="2"/>
      <c r="G2" s="2"/>
      <c r="H2" s="2"/>
      <c r="I2" s="2"/>
      <c r="J2" s="2"/>
      <c r="K2" s="2"/>
      <c r="L2" s="2"/>
      <c r="M2" s="2"/>
      <c r="N2" s="2"/>
      <c r="O2" s="2"/>
    </row>
    <row r="3" spans="1:15" x14ac:dyDescent="0.35">
      <c r="A3" s="2"/>
      <c r="B3" s="2"/>
      <c r="C3" s="2"/>
      <c r="D3" s="2"/>
      <c r="E3" s="2"/>
      <c r="F3" s="2"/>
      <c r="G3" s="2"/>
      <c r="H3" s="2"/>
      <c r="I3" s="2"/>
      <c r="J3" s="2"/>
      <c r="K3" s="2"/>
      <c r="L3" s="2"/>
      <c r="M3" s="2"/>
      <c r="N3" s="2"/>
      <c r="O3" s="2"/>
    </row>
    <row r="4" spans="1:15" x14ac:dyDescent="0.35">
      <c r="A4" s="2"/>
      <c r="B4" s="2"/>
      <c r="C4" s="2"/>
      <c r="D4" s="2"/>
      <c r="E4" s="2"/>
      <c r="F4" s="2"/>
      <c r="G4" s="2"/>
      <c r="H4" s="2"/>
      <c r="I4" s="2"/>
      <c r="J4" s="2"/>
      <c r="K4" s="2"/>
      <c r="L4" s="2"/>
      <c r="M4" s="2"/>
      <c r="N4" s="2"/>
      <c r="O4" s="2"/>
    </row>
    <row r="5" spans="1:15" x14ac:dyDescent="0.35">
      <c r="A5" s="2"/>
      <c r="B5" s="2"/>
      <c r="C5" s="2"/>
      <c r="D5" s="2"/>
      <c r="E5" s="2"/>
      <c r="F5" s="2"/>
      <c r="G5" s="2"/>
      <c r="H5" s="2"/>
      <c r="I5" s="2"/>
      <c r="J5" s="2"/>
      <c r="K5" s="2"/>
      <c r="L5" s="2"/>
      <c r="M5" s="2"/>
      <c r="N5" s="2"/>
      <c r="O5" s="2"/>
    </row>
    <row r="6" spans="1:15" x14ac:dyDescent="0.35">
      <c r="A6" s="2"/>
      <c r="B6" s="2"/>
      <c r="C6" s="2"/>
      <c r="D6" s="2"/>
      <c r="E6" s="2"/>
      <c r="F6" s="2"/>
      <c r="G6" s="2"/>
      <c r="H6" s="2"/>
      <c r="I6" s="2"/>
      <c r="J6" s="2"/>
      <c r="K6" s="2"/>
      <c r="L6" s="2"/>
      <c r="M6" s="2"/>
      <c r="N6" s="2"/>
      <c r="O6" s="2"/>
    </row>
    <row r="7" spans="1:15" x14ac:dyDescent="0.35">
      <c r="A7" s="2"/>
      <c r="B7" s="2"/>
      <c r="C7" s="2"/>
      <c r="D7" s="2"/>
      <c r="E7" s="2"/>
      <c r="F7" s="2"/>
      <c r="G7" s="2"/>
      <c r="H7" s="2"/>
      <c r="I7" s="2"/>
      <c r="J7" s="2"/>
      <c r="K7" s="2"/>
      <c r="L7" s="2"/>
      <c r="M7" s="2"/>
      <c r="N7" s="2"/>
      <c r="O7" s="2"/>
    </row>
    <row r="8" spans="1:15" x14ac:dyDescent="0.35">
      <c r="A8" s="2"/>
      <c r="B8" s="2"/>
      <c r="C8" s="2"/>
      <c r="D8" s="2"/>
      <c r="E8" s="2"/>
      <c r="F8" s="2"/>
      <c r="G8" s="2"/>
      <c r="H8" s="2"/>
      <c r="I8" s="2"/>
      <c r="J8" s="2"/>
      <c r="K8" s="2"/>
      <c r="L8" s="2"/>
      <c r="M8" s="2"/>
      <c r="N8" s="2"/>
      <c r="O8" s="2"/>
    </row>
    <row r="9" spans="1:15" x14ac:dyDescent="0.35">
      <c r="A9" s="2"/>
      <c r="B9" s="2"/>
      <c r="C9" s="2"/>
      <c r="D9" s="2"/>
      <c r="E9" s="2"/>
      <c r="F9" s="2"/>
      <c r="G9" s="2"/>
      <c r="H9" s="2"/>
      <c r="I9" s="2"/>
      <c r="J9" s="2"/>
      <c r="K9" s="2"/>
      <c r="L9" s="2"/>
      <c r="M9" s="2"/>
      <c r="N9" s="2"/>
      <c r="O9" s="2"/>
    </row>
    <row r="10" spans="1:15" x14ac:dyDescent="0.35">
      <c r="A10" s="2"/>
      <c r="B10" s="2"/>
      <c r="C10" s="2"/>
      <c r="D10" s="2"/>
      <c r="E10" s="2"/>
      <c r="F10" s="2"/>
      <c r="G10" s="2"/>
      <c r="H10" s="2"/>
      <c r="I10" s="2"/>
      <c r="J10" s="2"/>
      <c r="K10" s="2"/>
      <c r="L10" s="2"/>
      <c r="M10" s="2"/>
      <c r="N10" s="2"/>
      <c r="O10" s="2"/>
    </row>
    <row r="11" spans="1:15" x14ac:dyDescent="0.35">
      <c r="A11" s="2"/>
      <c r="B11" s="2"/>
      <c r="C11" s="2"/>
      <c r="D11" s="2"/>
      <c r="E11" s="2"/>
      <c r="F11" s="2"/>
      <c r="G11" s="2"/>
      <c r="H11" s="2"/>
      <c r="I11" s="2"/>
      <c r="J11" s="2"/>
      <c r="K11" s="2"/>
      <c r="L11" s="2"/>
      <c r="M11" s="2"/>
      <c r="N11" s="2"/>
      <c r="O11" s="2"/>
    </row>
    <row r="12" spans="1:15" x14ac:dyDescent="0.35">
      <c r="A12" s="2"/>
      <c r="B12" s="2"/>
      <c r="C12" s="2"/>
      <c r="D12" s="2"/>
      <c r="E12" s="2"/>
      <c r="F12" s="2"/>
      <c r="G12" s="2"/>
      <c r="H12" s="2"/>
      <c r="I12" s="2"/>
      <c r="J12" s="2"/>
      <c r="K12" s="2"/>
      <c r="L12" s="2"/>
      <c r="M12" s="2"/>
      <c r="N12" s="2"/>
      <c r="O12" s="2"/>
    </row>
    <row r="13" spans="1:15" x14ac:dyDescent="0.35">
      <c r="A13" s="2"/>
      <c r="B13" s="2"/>
      <c r="C13" s="2"/>
      <c r="D13" s="2"/>
      <c r="E13" s="2"/>
      <c r="F13" s="2"/>
      <c r="G13" s="2"/>
      <c r="H13" s="2"/>
      <c r="I13" s="2"/>
      <c r="J13" s="2"/>
      <c r="K13" s="2"/>
      <c r="L13" s="2"/>
      <c r="M13" s="2"/>
      <c r="N13" s="2"/>
      <c r="O13" s="2"/>
    </row>
    <row r="14" spans="1:15" x14ac:dyDescent="0.35">
      <c r="A14" s="2"/>
      <c r="B14" s="2"/>
      <c r="C14" s="2"/>
      <c r="D14" s="2"/>
      <c r="E14" s="2"/>
      <c r="F14" s="2"/>
      <c r="G14" s="2"/>
      <c r="H14" s="2"/>
      <c r="I14" s="2"/>
      <c r="J14" s="2"/>
      <c r="K14" s="2"/>
      <c r="L14" s="2"/>
      <c r="M14" s="2"/>
      <c r="N14" s="2"/>
      <c r="O14" s="2"/>
    </row>
    <row r="15" spans="1:15" x14ac:dyDescent="0.35">
      <c r="A15" s="2"/>
      <c r="B15" s="2"/>
      <c r="C15" s="2"/>
      <c r="D15" s="2"/>
      <c r="E15" s="2"/>
      <c r="F15" s="2"/>
      <c r="G15" s="2"/>
      <c r="H15" s="2"/>
      <c r="I15" s="2"/>
      <c r="J15" s="2"/>
      <c r="K15" s="2"/>
      <c r="L15" s="2"/>
      <c r="M15" s="2"/>
      <c r="N15" s="2"/>
      <c r="O15" s="2"/>
    </row>
    <row r="16" spans="1:15" x14ac:dyDescent="0.35">
      <c r="A16" s="2"/>
      <c r="B16" s="2"/>
      <c r="C16" s="2"/>
      <c r="D16" s="2"/>
      <c r="E16" s="2"/>
      <c r="F16" s="2"/>
      <c r="G16" s="2"/>
      <c r="H16" s="2"/>
      <c r="I16" s="2"/>
      <c r="J16" s="2"/>
      <c r="K16" s="2"/>
      <c r="L16" s="2"/>
      <c r="M16" s="2"/>
      <c r="N16" s="2"/>
      <c r="O16" s="2"/>
    </row>
    <row r="17" spans="1:15" x14ac:dyDescent="0.35">
      <c r="A17" s="2"/>
      <c r="B17" s="2"/>
      <c r="C17" s="2"/>
      <c r="D17" s="2"/>
      <c r="E17" s="2"/>
      <c r="F17" s="2"/>
      <c r="G17" s="2"/>
      <c r="H17" s="2"/>
      <c r="I17" s="2"/>
      <c r="J17" s="2"/>
      <c r="K17" s="2"/>
      <c r="L17" s="2"/>
      <c r="M17" s="2"/>
      <c r="N17" s="2"/>
      <c r="O17" s="2"/>
    </row>
    <row r="18" spans="1:15" x14ac:dyDescent="0.35">
      <c r="A18" s="2"/>
      <c r="B18" s="2"/>
      <c r="C18" s="2"/>
      <c r="D18" s="2"/>
      <c r="E18" s="2"/>
      <c r="F18" s="2"/>
      <c r="G18" s="2"/>
      <c r="H18" s="2"/>
      <c r="I18" s="2"/>
      <c r="J18" s="2"/>
      <c r="K18" s="2"/>
      <c r="L18" s="2"/>
      <c r="M18" s="2"/>
      <c r="N18" s="2"/>
      <c r="O18" s="2"/>
    </row>
    <row r="19" spans="1:15" x14ac:dyDescent="0.35">
      <c r="A19" s="2"/>
      <c r="B19" s="2"/>
      <c r="C19" s="2"/>
      <c r="D19" s="2"/>
      <c r="E19" s="2"/>
      <c r="F19" s="2"/>
      <c r="G19" s="2"/>
      <c r="H19" s="2"/>
      <c r="I19" s="2"/>
      <c r="J19" s="2"/>
      <c r="K19" s="2"/>
      <c r="L19" s="2"/>
      <c r="M19" s="2"/>
      <c r="N19" s="2"/>
      <c r="O19" s="2"/>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E2C3C-30E5-4249-BDAB-42F378E90B43}">
  <dimension ref="A1:P23"/>
  <sheetViews>
    <sheetView workbookViewId="0"/>
  </sheetViews>
  <sheetFormatPr defaultRowHeight="14.5" x14ac:dyDescent="0.35"/>
  <sheetData>
    <row r="1" spans="1:16" x14ac:dyDescent="0.35">
      <c r="A1" s="5"/>
      <c r="B1" s="5"/>
      <c r="C1" s="5"/>
      <c r="D1" s="5"/>
      <c r="E1" s="5"/>
      <c r="F1" s="5"/>
      <c r="G1" s="5"/>
      <c r="H1" s="5"/>
      <c r="I1" s="5"/>
      <c r="J1" s="5"/>
      <c r="K1" s="5"/>
      <c r="L1" s="5"/>
      <c r="M1" s="5"/>
      <c r="N1" s="5"/>
      <c r="O1" s="5"/>
      <c r="P1" s="5"/>
    </row>
    <row r="2" spans="1:16" x14ac:dyDescent="0.35">
      <c r="A2" s="5"/>
      <c r="B2" s="5"/>
      <c r="C2" s="5"/>
      <c r="D2" s="5"/>
      <c r="E2" s="5"/>
      <c r="F2" s="5"/>
      <c r="G2" s="5"/>
      <c r="H2" s="5"/>
      <c r="I2" s="5"/>
      <c r="J2" s="5"/>
      <c r="K2" s="5"/>
      <c r="L2" s="5"/>
      <c r="M2" s="5"/>
      <c r="N2" s="5"/>
      <c r="O2" s="5"/>
      <c r="P2" s="5"/>
    </row>
    <row r="3" spans="1:16" x14ac:dyDescent="0.35">
      <c r="A3" s="5"/>
      <c r="B3" s="5"/>
      <c r="C3" s="5"/>
      <c r="D3" s="5"/>
      <c r="E3" s="5"/>
      <c r="F3" s="5"/>
      <c r="G3" s="5"/>
      <c r="H3" s="5"/>
      <c r="I3" s="5"/>
      <c r="J3" s="5"/>
      <c r="K3" s="5"/>
      <c r="L3" s="5"/>
      <c r="M3" s="5"/>
      <c r="N3" s="5"/>
      <c r="O3" s="5"/>
      <c r="P3" s="5"/>
    </row>
    <row r="4" spans="1:16" x14ac:dyDescent="0.35">
      <c r="A4" s="5"/>
      <c r="B4" s="5"/>
      <c r="C4" s="5"/>
      <c r="D4" s="5"/>
      <c r="E4" s="5"/>
      <c r="F4" s="5"/>
      <c r="G4" s="5"/>
      <c r="H4" s="5"/>
      <c r="I4" s="5"/>
      <c r="J4" s="5"/>
      <c r="K4" s="5"/>
      <c r="L4" s="5"/>
      <c r="M4" s="5"/>
      <c r="N4" s="5"/>
      <c r="O4" s="5"/>
      <c r="P4" s="5"/>
    </row>
    <row r="5" spans="1:16" x14ac:dyDescent="0.35">
      <c r="A5" s="5"/>
      <c r="B5" s="5"/>
      <c r="C5" s="5"/>
      <c r="D5" s="5"/>
      <c r="E5" s="5"/>
      <c r="F5" s="5"/>
      <c r="G5" s="5"/>
      <c r="H5" s="5"/>
      <c r="I5" s="5"/>
      <c r="J5" s="5"/>
      <c r="K5" s="5"/>
      <c r="L5" s="5"/>
      <c r="M5" s="5"/>
      <c r="N5" s="5"/>
      <c r="O5" s="5"/>
      <c r="P5" s="5"/>
    </row>
    <row r="6" spans="1:16" x14ac:dyDescent="0.35">
      <c r="A6" s="5"/>
      <c r="B6" s="5"/>
      <c r="C6" s="5"/>
      <c r="D6" s="5"/>
      <c r="E6" s="5"/>
      <c r="F6" s="5"/>
      <c r="G6" s="5"/>
      <c r="H6" s="5"/>
      <c r="I6" s="5"/>
      <c r="J6" s="5"/>
      <c r="K6" s="5"/>
      <c r="L6" s="5"/>
      <c r="M6" s="5"/>
      <c r="N6" s="5"/>
      <c r="O6" s="5"/>
      <c r="P6" s="5"/>
    </row>
    <row r="7" spans="1:16" x14ac:dyDescent="0.35">
      <c r="A7" s="5"/>
      <c r="B7" s="5"/>
      <c r="C7" s="5"/>
      <c r="D7" s="5"/>
      <c r="E7" s="5"/>
      <c r="F7" s="5"/>
      <c r="G7" s="5"/>
      <c r="H7" s="5"/>
      <c r="I7" s="5"/>
      <c r="J7" s="5"/>
      <c r="K7" s="5"/>
      <c r="L7" s="5"/>
      <c r="M7" s="5"/>
      <c r="N7" s="5"/>
      <c r="O7" s="5"/>
      <c r="P7" s="5"/>
    </row>
    <row r="8" spans="1:16" x14ac:dyDescent="0.35">
      <c r="A8" s="5"/>
      <c r="B8" s="5"/>
      <c r="C8" s="5"/>
      <c r="D8" s="5"/>
      <c r="E8" s="5"/>
      <c r="F8" s="5"/>
      <c r="G8" s="5"/>
      <c r="H8" s="5"/>
      <c r="I8" s="5"/>
      <c r="J8" s="5"/>
      <c r="K8" s="5"/>
      <c r="L8" s="5"/>
      <c r="M8" s="5"/>
      <c r="N8" s="5"/>
      <c r="O8" s="5"/>
      <c r="P8" s="5"/>
    </row>
    <row r="9" spans="1:16" x14ac:dyDescent="0.35">
      <c r="A9" s="5"/>
      <c r="B9" s="5"/>
      <c r="C9" s="5"/>
      <c r="D9" s="5"/>
      <c r="E9" s="5"/>
      <c r="F9" s="5"/>
      <c r="G9" s="5"/>
      <c r="H9" s="5"/>
      <c r="I9" s="5"/>
      <c r="J9" s="5"/>
      <c r="K9" s="5"/>
      <c r="L9" s="5"/>
      <c r="M9" s="5"/>
      <c r="N9" s="5"/>
      <c r="O9" s="5"/>
      <c r="P9" s="5"/>
    </row>
    <row r="10" spans="1:16" x14ac:dyDescent="0.35">
      <c r="A10" s="5"/>
      <c r="B10" s="5"/>
      <c r="C10" s="5"/>
      <c r="D10" s="5"/>
      <c r="E10" s="5"/>
      <c r="F10" s="5"/>
      <c r="G10" s="5"/>
      <c r="H10" s="5"/>
      <c r="I10" s="5"/>
      <c r="J10" s="5"/>
      <c r="K10" s="5"/>
      <c r="L10" s="5"/>
      <c r="M10" s="5"/>
      <c r="N10" s="5"/>
      <c r="O10" s="5"/>
      <c r="P10" s="5"/>
    </row>
    <row r="11" spans="1:16" x14ac:dyDescent="0.35">
      <c r="A11" s="5"/>
      <c r="B11" s="5"/>
      <c r="C11" s="5"/>
      <c r="D11" s="5"/>
      <c r="E11" s="5"/>
      <c r="F11" s="5"/>
      <c r="G11" s="5"/>
      <c r="H11" s="5"/>
      <c r="I11" s="5"/>
      <c r="J11" s="5"/>
      <c r="K11" s="5"/>
      <c r="L11" s="5"/>
      <c r="M11" s="5"/>
      <c r="N11" s="5"/>
      <c r="O11" s="5"/>
      <c r="P11" s="5"/>
    </row>
    <row r="12" spans="1:16" x14ac:dyDescent="0.35">
      <c r="A12" s="5"/>
      <c r="B12" s="5"/>
      <c r="C12" s="5"/>
      <c r="D12" s="5"/>
      <c r="E12" s="5"/>
      <c r="F12" s="5"/>
      <c r="G12" s="5"/>
      <c r="H12" s="5"/>
      <c r="I12" s="5"/>
      <c r="J12" s="5"/>
      <c r="K12" s="5"/>
      <c r="L12" s="5"/>
      <c r="M12" s="5"/>
      <c r="N12" s="5"/>
      <c r="O12" s="5"/>
      <c r="P12" s="5"/>
    </row>
    <row r="13" spans="1:16" x14ac:dyDescent="0.35">
      <c r="A13" s="5"/>
      <c r="B13" s="5"/>
      <c r="C13" s="5"/>
      <c r="D13" s="5"/>
      <c r="E13" s="5"/>
      <c r="F13" s="5"/>
      <c r="G13" s="5"/>
      <c r="H13" s="5"/>
      <c r="I13" s="5"/>
      <c r="J13" s="5"/>
      <c r="K13" s="5"/>
      <c r="L13" s="5"/>
      <c r="M13" s="5"/>
      <c r="N13" s="5"/>
      <c r="O13" s="5"/>
      <c r="P13" s="5"/>
    </row>
    <row r="14" spans="1:16" x14ac:dyDescent="0.35">
      <c r="A14" s="5"/>
      <c r="B14" s="5"/>
      <c r="C14" s="5"/>
      <c r="D14" s="5"/>
      <c r="E14" s="5"/>
      <c r="F14" s="5"/>
      <c r="G14" s="5"/>
      <c r="H14" s="5"/>
      <c r="I14" s="5"/>
      <c r="J14" s="5"/>
      <c r="K14" s="5"/>
      <c r="L14" s="5"/>
      <c r="M14" s="5"/>
      <c r="N14" s="5"/>
      <c r="O14" s="5"/>
      <c r="P14" s="5"/>
    </row>
    <row r="15" spans="1:16" x14ac:dyDescent="0.35">
      <c r="A15" s="5"/>
      <c r="B15" s="5"/>
      <c r="C15" s="5"/>
      <c r="D15" s="5"/>
      <c r="E15" s="5"/>
      <c r="F15" s="5"/>
      <c r="G15" s="5"/>
      <c r="H15" s="5"/>
      <c r="I15" s="5"/>
      <c r="J15" s="5"/>
      <c r="K15" s="5"/>
      <c r="L15" s="5"/>
      <c r="M15" s="5"/>
      <c r="N15" s="5"/>
      <c r="O15" s="5"/>
      <c r="P15" s="5"/>
    </row>
    <row r="16" spans="1:16" x14ac:dyDescent="0.35">
      <c r="A16" s="5"/>
      <c r="B16" s="5"/>
      <c r="C16" s="5"/>
      <c r="D16" s="5"/>
      <c r="E16" s="5"/>
      <c r="F16" s="5"/>
      <c r="G16" s="5"/>
      <c r="H16" s="5"/>
      <c r="I16" s="5"/>
      <c r="J16" s="5"/>
      <c r="K16" s="5"/>
      <c r="L16" s="5"/>
      <c r="M16" s="5"/>
      <c r="N16" s="5"/>
      <c r="O16" s="5"/>
      <c r="P16" s="5"/>
    </row>
    <row r="17" spans="1:16" x14ac:dyDescent="0.35">
      <c r="A17" s="5"/>
      <c r="B17" s="5"/>
      <c r="C17" s="5"/>
      <c r="D17" s="5"/>
      <c r="E17" s="5"/>
      <c r="F17" s="5"/>
      <c r="G17" s="5"/>
      <c r="H17" s="5"/>
      <c r="I17" s="5"/>
      <c r="J17" s="5"/>
      <c r="K17" s="5"/>
      <c r="L17" s="5"/>
      <c r="M17" s="5"/>
      <c r="N17" s="5"/>
      <c r="O17" s="5"/>
      <c r="P17" s="5"/>
    </row>
    <row r="18" spans="1:16" x14ac:dyDescent="0.35">
      <c r="A18" s="5"/>
      <c r="B18" s="5"/>
      <c r="C18" s="5"/>
      <c r="D18" s="5"/>
      <c r="E18" s="5"/>
      <c r="F18" s="5"/>
      <c r="G18" s="5"/>
      <c r="H18" s="5"/>
      <c r="I18" s="5"/>
      <c r="J18" s="5"/>
      <c r="K18" s="5"/>
      <c r="L18" s="5"/>
      <c r="M18" s="5"/>
      <c r="N18" s="5"/>
      <c r="O18" s="5"/>
      <c r="P18" s="5"/>
    </row>
    <row r="19" spans="1:16" x14ac:dyDescent="0.35">
      <c r="A19" s="5"/>
      <c r="B19" s="5"/>
      <c r="C19" s="5"/>
      <c r="D19" s="5"/>
      <c r="E19" s="5"/>
      <c r="F19" s="5"/>
      <c r="G19" s="5"/>
      <c r="H19" s="5"/>
      <c r="I19" s="5"/>
      <c r="J19" s="5"/>
      <c r="K19" s="5"/>
      <c r="L19" s="5"/>
      <c r="M19" s="5"/>
      <c r="N19" s="5"/>
      <c r="O19" s="5"/>
      <c r="P19" s="5"/>
    </row>
    <row r="20" spans="1:16" x14ac:dyDescent="0.35">
      <c r="A20" s="5"/>
      <c r="B20" s="5"/>
      <c r="C20" s="5"/>
      <c r="D20" s="5"/>
      <c r="E20" s="5"/>
      <c r="F20" s="5"/>
      <c r="G20" s="5"/>
      <c r="H20" s="5"/>
      <c r="I20" s="5"/>
      <c r="J20" s="5"/>
      <c r="K20" s="5"/>
      <c r="L20" s="5"/>
      <c r="M20" s="5"/>
      <c r="N20" s="5"/>
      <c r="O20" s="5"/>
      <c r="P20" s="5"/>
    </row>
    <row r="21" spans="1:16" x14ac:dyDescent="0.35">
      <c r="A21" s="5"/>
      <c r="B21" s="5"/>
      <c r="C21" s="5"/>
      <c r="D21" s="5"/>
      <c r="E21" s="5"/>
      <c r="F21" s="5"/>
      <c r="G21" s="5"/>
      <c r="H21" s="5"/>
      <c r="I21" s="5"/>
      <c r="J21" s="5"/>
      <c r="K21" s="5"/>
      <c r="L21" s="5"/>
      <c r="M21" s="5"/>
      <c r="N21" s="5"/>
      <c r="O21" s="5"/>
      <c r="P21" s="5"/>
    </row>
    <row r="22" spans="1:16" x14ac:dyDescent="0.35">
      <c r="A22" s="5"/>
      <c r="B22" s="5"/>
      <c r="C22" s="5"/>
      <c r="D22" s="5"/>
      <c r="E22" s="5"/>
      <c r="F22" s="5"/>
      <c r="G22" s="5"/>
      <c r="H22" s="5"/>
      <c r="I22" s="5"/>
      <c r="J22" s="5"/>
      <c r="K22" s="5"/>
      <c r="L22" s="5"/>
      <c r="M22" s="5"/>
      <c r="N22" s="5"/>
      <c r="O22" s="5"/>
      <c r="P22" s="5"/>
    </row>
    <row r="23" spans="1:16" x14ac:dyDescent="0.35">
      <c r="A23" s="5"/>
      <c r="B23" s="5"/>
      <c r="C23" s="5"/>
      <c r="D23" s="5"/>
      <c r="E23" s="5"/>
      <c r="F23" s="5"/>
      <c r="G23" s="5"/>
      <c r="H23" s="5"/>
      <c r="I23" s="5"/>
      <c r="J23" s="5"/>
      <c r="K23" s="5"/>
      <c r="L23" s="5"/>
      <c r="M23" s="5"/>
      <c r="N23" s="5"/>
      <c r="O23" s="5"/>
      <c r="P23"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44E5E-CF40-405E-9121-6A2CA7DAC3D1}">
  <dimension ref="A1:P23"/>
  <sheetViews>
    <sheetView workbookViewId="0"/>
  </sheetViews>
  <sheetFormatPr defaultRowHeight="14.5" x14ac:dyDescent="0.35"/>
  <sheetData>
    <row r="1" spans="1:16" x14ac:dyDescent="0.35">
      <c r="A1" s="5"/>
      <c r="B1" s="5"/>
      <c r="C1" s="5"/>
      <c r="D1" s="5"/>
      <c r="E1" s="5"/>
      <c r="F1" s="5"/>
      <c r="G1" s="5"/>
      <c r="H1" s="5"/>
      <c r="I1" s="5"/>
      <c r="J1" s="5"/>
      <c r="K1" s="5"/>
      <c r="L1" s="5"/>
      <c r="M1" s="5"/>
      <c r="N1" s="5"/>
      <c r="O1" s="5"/>
      <c r="P1" s="5"/>
    </row>
    <row r="2" spans="1:16" x14ac:dyDescent="0.35">
      <c r="A2" s="5"/>
      <c r="B2" s="5"/>
      <c r="C2" s="5"/>
      <c r="D2" s="5"/>
      <c r="E2" s="5"/>
      <c r="F2" s="5"/>
      <c r="G2" s="5"/>
      <c r="H2" s="5"/>
      <c r="I2" s="5"/>
      <c r="J2" s="5"/>
      <c r="K2" s="5"/>
      <c r="L2" s="5"/>
      <c r="M2" s="5"/>
      <c r="N2" s="5"/>
      <c r="O2" s="5"/>
      <c r="P2" s="5"/>
    </row>
    <row r="3" spans="1:16" x14ac:dyDescent="0.35">
      <c r="A3" s="5"/>
      <c r="B3" s="5"/>
      <c r="C3" s="5"/>
      <c r="D3" s="5"/>
      <c r="E3" s="5"/>
      <c r="F3" s="5"/>
      <c r="G3" s="5"/>
      <c r="H3" s="5"/>
      <c r="I3" s="5"/>
      <c r="J3" s="5"/>
      <c r="K3" s="5"/>
      <c r="L3" s="5"/>
      <c r="M3" s="5"/>
      <c r="N3" s="5"/>
      <c r="O3" s="5"/>
      <c r="P3" s="5"/>
    </row>
    <row r="4" spans="1:16" x14ac:dyDescent="0.35">
      <c r="A4" s="5"/>
      <c r="B4" s="5"/>
      <c r="C4" s="5"/>
      <c r="D4" s="5"/>
      <c r="E4" s="5"/>
      <c r="F4" s="5"/>
      <c r="G4" s="5"/>
      <c r="H4" s="5"/>
      <c r="I4" s="5"/>
      <c r="J4" s="5"/>
      <c r="K4" s="5"/>
      <c r="L4" s="5"/>
      <c r="M4" s="5"/>
      <c r="N4" s="5"/>
      <c r="O4" s="5"/>
      <c r="P4" s="5"/>
    </row>
    <row r="5" spans="1:16" x14ac:dyDescent="0.35">
      <c r="A5" s="5"/>
      <c r="B5" s="5"/>
      <c r="C5" s="5"/>
      <c r="D5" s="5"/>
      <c r="E5" s="5"/>
      <c r="F5" s="5"/>
      <c r="G5" s="5"/>
      <c r="H5" s="5"/>
      <c r="I5" s="5"/>
      <c r="J5" s="5"/>
      <c r="K5" s="5"/>
      <c r="L5" s="5"/>
      <c r="M5" s="5"/>
      <c r="N5" s="5"/>
      <c r="O5" s="5"/>
      <c r="P5" s="5"/>
    </row>
    <row r="6" spans="1:16" x14ac:dyDescent="0.35">
      <c r="A6" s="5"/>
      <c r="B6" s="5"/>
      <c r="C6" s="5"/>
      <c r="D6" s="5"/>
      <c r="E6" s="5"/>
      <c r="F6" s="5"/>
      <c r="G6" s="5"/>
      <c r="H6" s="5"/>
      <c r="I6" s="5"/>
      <c r="J6" s="5"/>
      <c r="K6" s="5"/>
      <c r="L6" s="5"/>
      <c r="M6" s="5"/>
      <c r="N6" s="5"/>
      <c r="O6" s="5"/>
      <c r="P6" s="5"/>
    </row>
    <row r="7" spans="1:16" x14ac:dyDescent="0.35">
      <c r="A7" s="5"/>
      <c r="B7" s="5"/>
      <c r="C7" s="5"/>
      <c r="D7" s="5"/>
      <c r="E7" s="5"/>
      <c r="F7" s="5"/>
      <c r="G7" s="5"/>
      <c r="H7" s="5"/>
      <c r="I7" s="5"/>
      <c r="J7" s="5"/>
      <c r="K7" s="5"/>
      <c r="L7" s="5"/>
      <c r="M7" s="5"/>
      <c r="N7" s="5"/>
      <c r="O7" s="5"/>
      <c r="P7" s="5"/>
    </row>
    <row r="8" spans="1:16" x14ac:dyDescent="0.35">
      <c r="A8" s="5"/>
      <c r="B8" s="5"/>
      <c r="C8" s="5"/>
      <c r="D8" s="5"/>
      <c r="E8" s="5"/>
      <c r="F8" s="5"/>
      <c r="G8" s="5"/>
      <c r="H8" s="5"/>
      <c r="I8" s="5"/>
      <c r="J8" s="5"/>
      <c r="K8" s="5"/>
      <c r="L8" s="5"/>
      <c r="M8" s="5"/>
      <c r="N8" s="5"/>
      <c r="O8" s="5"/>
      <c r="P8" s="5"/>
    </row>
    <row r="9" spans="1:16" x14ac:dyDescent="0.35">
      <c r="A9" s="5"/>
      <c r="B9" s="5"/>
      <c r="C9" s="5"/>
      <c r="D9" s="5"/>
      <c r="E9" s="5"/>
      <c r="F9" s="5"/>
      <c r="G9" s="5"/>
      <c r="H9" s="5"/>
      <c r="I9" s="5"/>
      <c r="J9" s="5"/>
      <c r="K9" s="5"/>
      <c r="L9" s="5"/>
      <c r="M9" s="5"/>
      <c r="N9" s="5"/>
      <c r="O9" s="5"/>
      <c r="P9" s="5"/>
    </row>
    <row r="10" spans="1:16" x14ac:dyDescent="0.35">
      <c r="A10" s="5"/>
      <c r="B10" s="5"/>
      <c r="C10" s="5"/>
      <c r="D10" s="5"/>
      <c r="E10" s="5"/>
      <c r="F10" s="5"/>
      <c r="G10" s="5"/>
      <c r="H10" s="5"/>
      <c r="I10" s="5"/>
      <c r="J10" s="5"/>
      <c r="K10" s="5"/>
      <c r="L10" s="5"/>
      <c r="M10" s="5"/>
      <c r="N10" s="5"/>
      <c r="O10" s="5"/>
      <c r="P10" s="5"/>
    </row>
    <row r="11" spans="1:16" x14ac:dyDescent="0.35">
      <c r="A11" s="5"/>
      <c r="B11" s="5"/>
      <c r="C11" s="5"/>
      <c r="D11" s="5"/>
      <c r="E11" s="5"/>
      <c r="F11" s="5"/>
      <c r="G11" s="5"/>
      <c r="H11" s="5"/>
      <c r="I11" s="5"/>
      <c r="J11" s="5"/>
      <c r="K11" s="5"/>
      <c r="L11" s="5"/>
      <c r="M11" s="5"/>
      <c r="N11" s="5"/>
      <c r="O11" s="5"/>
      <c r="P11" s="5"/>
    </row>
    <row r="12" spans="1:16" x14ac:dyDescent="0.35">
      <c r="A12" s="5"/>
      <c r="B12" s="5"/>
      <c r="C12" s="5"/>
      <c r="D12" s="5"/>
      <c r="E12" s="5"/>
      <c r="F12" s="5"/>
      <c r="G12" s="5"/>
      <c r="H12" s="5"/>
      <c r="I12" s="5"/>
      <c r="J12" s="5"/>
      <c r="K12" s="5"/>
      <c r="L12" s="5"/>
      <c r="M12" s="5"/>
      <c r="N12" s="5"/>
      <c r="O12" s="5"/>
      <c r="P12" s="5"/>
    </row>
    <row r="13" spans="1:16" x14ac:dyDescent="0.35">
      <c r="A13" s="5"/>
      <c r="B13" s="5"/>
      <c r="C13" s="5"/>
      <c r="D13" s="5"/>
      <c r="E13" s="5"/>
      <c r="F13" s="5"/>
      <c r="G13" s="5"/>
      <c r="H13" s="5"/>
      <c r="I13" s="5"/>
      <c r="J13" s="5"/>
      <c r="K13" s="5"/>
      <c r="L13" s="5"/>
      <c r="M13" s="5"/>
      <c r="N13" s="5"/>
      <c r="O13" s="5"/>
      <c r="P13" s="5"/>
    </row>
    <row r="14" spans="1:16" x14ac:dyDescent="0.35">
      <c r="A14" s="5"/>
      <c r="B14" s="5"/>
      <c r="C14" s="5"/>
      <c r="D14" s="5"/>
      <c r="E14" s="5"/>
      <c r="F14" s="5"/>
      <c r="G14" s="5"/>
      <c r="H14" s="5"/>
      <c r="I14" s="5"/>
      <c r="J14" s="5"/>
      <c r="K14" s="5"/>
      <c r="L14" s="5"/>
      <c r="M14" s="5"/>
      <c r="N14" s="5"/>
      <c r="O14" s="5"/>
      <c r="P14" s="5"/>
    </row>
    <row r="15" spans="1:16" x14ac:dyDescent="0.35">
      <c r="A15" s="5"/>
      <c r="B15" s="5"/>
      <c r="C15" s="5"/>
      <c r="D15" s="5"/>
      <c r="E15" s="5"/>
      <c r="F15" s="5"/>
      <c r="G15" s="5"/>
      <c r="H15" s="5"/>
      <c r="I15" s="5"/>
      <c r="J15" s="5"/>
      <c r="K15" s="5"/>
      <c r="L15" s="5"/>
      <c r="M15" s="5"/>
      <c r="N15" s="5"/>
      <c r="O15" s="5"/>
      <c r="P15" s="5"/>
    </row>
    <row r="16" spans="1:16" x14ac:dyDescent="0.35">
      <c r="A16" s="5"/>
      <c r="B16" s="5"/>
      <c r="C16" s="5"/>
      <c r="D16" s="5"/>
      <c r="E16" s="5"/>
      <c r="F16" s="5"/>
      <c r="G16" s="5"/>
      <c r="H16" s="5"/>
      <c r="I16" s="5"/>
      <c r="J16" s="5"/>
      <c r="K16" s="5"/>
      <c r="L16" s="5"/>
      <c r="M16" s="5"/>
      <c r="N16" s="5"/>
      <c r="O16" s="5"/>
      <c r="P16" s="5"/>
    </row>
    <row r="17" spans="1:16" x14ac:dyDescent="0.35">
      <c r="A17" s="5"/>
      <c r="B17" s="5"/>
      <c r="C17" s="5"/>
      <c r="D17" s="5"/>
      <c r="E17" s="5"/>
      <c r="F17" s="5"/>
      <c r="G17" s="5"/>
      <c r="H17" s="5"/>
      <c r="I17" s="5"/>
      <c r="J17" s="5"/>
      <c r="K17" s="5"/>
      <c r="L17" s="5"/>
      <c r="M17" s="5"/>
      <c r="N17" s="5"/>
      <c r="O17" s="5"/>
      <c r="P17" s="5"/>
    </row>
    <row r="18" spans="1:16" x14ac:dyDescent="0.35">
      <c r="A18" s="5"/>
      <c r="B18" s="5"/>
      <c r="C18" s="5"/>
      <c r="D18" s="5"/>
      <c r="E18" s="5"/>
      <c r="F18" s="5"/>
      <c r="G18" s="5"/>
      <c r="H18" s="5"/>
      <c r="I18" s="5"/>
      <c r="J18" s="5"/>
      <c r="K18" s="5"/>
      <c r="L18" s="5"/>
      <c r="M18" s="5"/>
      <c r="N18" s="5"/>
      <c r="O18" s="5"/>
      <c r="P18" s="5"/>
    </row>
    <row r="19" spans="1:16" x14ac:dyDescent="0.35">
      <c r="A19" s="5"/>
      <c r="B19" s="5"/>
      <c r="C19" s="5"/>
      <c r="D19" s="5"/>
      <c r="E19" s="5"/>
      <c r="F19" s="5"/>
      <c r="G19" s="5"/>
      <c r="H19" s="5"/>
      <c r="I19" s="5"/>
      <c r="J19" s="5"/>
      <c r="K19" s="5"/>
      <c r="L19" s="5"/>
      <c r="M19" s="5"/>
      <c r="N19" s="5"/>
      <c r="O19" s="5"/>
      <c r="P19" s="5"/>
    </row>
    <row r="20" spans="1:16" x14ac:dyDescent="0.35">
      <c r="A20" s="5"/>
      <c r="B20" s="5"/>
      <c r="C20" s="5"/>
      <c r="D20" s="5"/>
      <c r="E20" s="5"/>
      <c r="F20" s="5"/>
      <c r="G20" s="5"/>
      <c r="H20" s="5"/>
      <c r="I20" s="5"/>
      <c r="J20" s="5"/>
      <c r="K20" s="5"/>
      <c r="L20" s="5"/>
      <c r="M20" s="5"/>
      <c r="N20" s="5"/>
      <c r="O20" s="5"/>
      <c r="P20" s="5"/>
    </row>
    <row r="21" spans="1:16" x14ac:dyDescent="0.35">
      <c r="A21" s="5"/>
      <c r="B21" s="5"/>
      <c r="C21" s="5"/>
      <c r="D21" s="5"/>
      <c r="E21" s="5"/>
      <c r="F21" s="5"/>
      <c r="G21" s="5"/>
      <c r="H21" s="5"/>
      <c r="I21" s="5"/>
      <c r="J21" s="5"/>
      <c r="K21" s="5"/>
      <c r="L21" s="5"/>
      <c r="M21" s="5"/>
      <c r="N21" s="5"/>
      <c r="O21" s="5"/>
      <c r="P21" s="5"/>
    </row>
    <row r="22" spans="1:16" x14ac:dyDescent="0.35">
      <c r="A22" s="5"/>
      <c r="B22" s="5"/>
      <c r="C22" s="5"/>
      <c r="D22" s="5"/>
      <c r="E22" s="5"/>
      <c r="F22" s="5"/>
      <c r="G22" s="5"/>
      <c r="H22" s="5"/>
      <c r="I22" s="5"/>
      <c r="J22" s="5"/>
      <c r="K22" s="5"/>
      <c r="L22" s="5"/>
      <c r="M22" s="5"/>
      <c r="N22" s="5"/>
      <c r="O22" s="5"/>
      <c r="P22" s="5"/>
    </row>
    <row r="23" spans="1:16" x14ac:dyDescent="0.35">
      <c r="A23" s="5"/>
      <c r="B23" s="5"/>
      <c r="C23" s="5"/>
      <c r="D23" s="5"/>
      <c r="E23" s="5"/>
      <c r="F23" s="5"/>
      <c r="G23" s="5"/>
      <c r="H23" s="5"/>
      <c r="I23" s="5"/>
      <c r="J23" s="5"/>
      <c r="K23" s="5"/>
      <c r="L23" s="5"/>
      <c r="M23" s="5"/>
      <c r="N23" s="5"/>
      <c r="O23" s="5"/>
      <c r="P23"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0527C-8DBD-4F8D-B799-7F040C95B933}">
  <dimension ref="A1:Q23"/>
  <sheetViews>
    <sheetView workbookViewId="0"/>
  </sheetViews>
  <sheetFormatPr defaultRowHeight="14.5" x14ac:dyDescent="0.35"/>
  <sheetData>
    <row r="1" spans="1:17" x14ac:dyDescent="0.35">
      <c r="A1" s="5"/>
      <c r="B1" s="5"/>
      <c r="C1" s="5"/>
      <c r="D1" s="5"/>
      <c r="E1" s="5"/>
      <c r="F1" s="5"/>
      <c r="G1" s="5"/>
      <c r="H1" s="5"/>
      <c r="I1" s="5"/>
      <c r="J1" s="5"/>
      <c r="K1" s="5"/>
      <c r="L1" s="5"/>
      <c r="M1" s="5"/>
      <c r="N1" s="5"/>
      <c r="O1" s="5"/>
      <c r="P1" s="5"/>
      <c r="Q1" s="5"/>
    </row>
    <row r="2" spans="1:17" x14ac:dyDescent="0.35">
      <c r="A2" s="5"/>
      <c r="B2" s="5"/>
      <c r="C2" s="5"/>
      <c r="D2" s="5"/>
      <c r="E2" s="5"/>
      <c r="F2" s="5"/>
      <c r="G2" s="5"/>
      <c r="H2" s="5"/>
      <c r="I2" s="5"/>
      <c r="J2" s="5"/>
      <c r="K2" s="5"/>
      <c r="L2" s="5"/>
      <c r="M2" s="5"/>
      <c r="N2" s="5"/>
      <c r="O2" s="5"/>
      <c r="P2" s="5"/>
      <c r="Q2" s="5"/>
    </row>
    <row r="3" spans="1:17" x14ac:dyDescent="0.35">
      <c r="A3" s="5"/>
      <c r="B3" s="5"/>
      <c r="C3" s="5"/>
      <c r="D3" s="5"/>
      <c r="E3" s="5"/>
      <c r="F3" s="5"/>
      <c r="G3" s="5"/>
      <c r="H3" s="5"/>
      <c r="I3" s="5"/>
      <c r="J3" s="5"/>
      <c r="K3" s="5"/>
      <c r="L3" s="5"/>
      <c r="M3" s="5"/>
      <c r="N3" s="5"/>
      <c r="O3" s="5"/>
      <c r="P3" s="5"/>
      <c r="Q3" s="5"/>
    </row>
    <row r="4" spans="1:17" x14ac:dyDescent="0.35">
      <c r="A4" s="5"/>
      <c r="B4" s="5"/>
      <c r="C4" s="5"/>
      <c r="D4" s="5"/>
      <c r="E4" s="5"/>
      <c r="F4" s="5"/>
      <c r="G4" s="5"/>
      <c r="H4" s="5"/>
      <c r="I4" s="5"/>
      <c r="J4" s="5"/>
      <c r="K4" s="5"/>
      <c r="L4" s="5"/>
      <c r="M4" s="5"/>
      <c r="N4" s="5"/>
      <c r="O4" s="5"/>
      <c r="P4" s="5"/>
      <c r="Q4" s="5"/>
    </row>
    <row r="5" spans="1:17" x14ac:dyDescent="0.35">
      <c r="A5" s="5"/>
      <c r="B5" s="5"/>
      <c r="C5" s="5"/>
      <c r="D5" s="5"/>
      <c r="E5" s="5"/>
      <c r="F5" s="5"/>
      <c r="G5" s="5"/>
      <c r="H5" s="5"/>
      <c r="I5" s="5"/>
      <c r="J5" s="5"/>
      <c r="K5" s="5"/>
      <c r="L5" s="5"/>
      <c r="M5" s="5"/>
      <c r="N5" s="5"/>
      <c r="O5" s="5"/>
      <c r="P5" s="5"/>
      <c r="Q5" s="5"/>
    </row>
    <row r="6" spans="1:17" x14ac:dyDescent="0.35">
      <c r="A6" s="5"/>
      <c r="B6" s="5"/>
      <c r="C6" s="5"/>
      <c r="D6" s="5"/>
      <c r="E6" s="5"/>
      <c r="F6" s="5"/>
      <c r="G6" s="5"/>
      <c r="H6" s="5"/>
      <c r="I6" s="5"/>
      <c r="J6" s="5"/>
      <c r="K6" s="5"/>
      <c r="L6" s="5"/>
      <c r="M6" s="5"/>
      <c r="N6" s="5"/>
      <c r="O6" s="5"/>
      <c r="P6" s="5"/>
      <c r="Q6" s="5"/>
    </row>
    <row r="7" spans="1:17" x14ac:dyDescent="0.35">
      <c r="A7" s="5"/>
      <c r="B7" s="5"/>
      <c r="C7" s="5"/>
      <c r="D7" s="5"/>
      <c r="E7" s="5"/>
      <c r="F7" s="5"/>
      <c r="G7" s="5"/>
      <c r="H7" s="5"/>
      <c r="I7" s="5"/>
      <c r="J7" s="5"/>
      <c r="K7" s="5"/>
      <c r="L7" s="5"/>
      <c r="M7" s="5"/>
      <c r="N7" s="5"/>
      <c r="O7" s="5"/>
      <c r="P7" s="5"/>
      <c r="Q7" s="5"/>
    </row>
    <row r="8" spans="1:17" x14ac:dyDescent="0.35">
      <c r="A8" s="5"/>
      <c r="B8" s="5"/>
      <c r="C8" s="5"/>
      <c r="D8" s="5"/>
      <c r="E8" s="5"/>
      <c r="F8" s="5"/>
      <c r="G8" s="5"/>
      <c r="H8" s="5"/>
      <c r="I8" s="5"/>
      <c r="J8" s="5"/>
      <c r="K8" s="5"/>
      <c r="L8" s="5"/>
      <c r="M8" s="5"/>
      <c r="N8" s="5"/>
      <c r="O8" s="5"/>
      <c r="P8" s="5"/>
      <c r="Q8" s="5"/>
    </row>
    <row r="9" spans="1:17" x14ac:dyDescent="0.35">
      <c r="A9" s="5"/>
      <c r="B9" s="5"/>
      <c r="C9" s="5"/>
      <c r="D9" s="5"/>
      <c r="E9" s="5"/>
      <c r="F9" s="5"/>
      <c r="G9" s="5"/>
      <c r="H9" s="5"/>
      <c r="I9" s="5"/>
      <c r="J9" s="5"/>
      <c r="K9" s="5"/>
      <c r="L9" s="5"/>
      <c r="M9" s="5"/>
      <c r="N9" s="5"/>
      <c r="O9" s="5"/>
      <c r="P9" s="5"/>
      <c r="Q9" s="5"/>
    </row>
    <row r="10" spans="1:17" x14ac:dyDescent="0.35">
      <c r="A10" s="5"/>
      <c r="B10" s="5"/>
      <c r="C10" s="5"/>
      <c r="D10" s="5"/>
      <c r="E10" s="5"/>
      <c r="F10" s="5"/>
      <c r="G10" s="5"/>
      <c r="H10" s="5"/>
      <c r="I10" s="5"/>
      <c r="J10" s="5"/>
      <c r="K10" s="5"/>
      <c r="L10" s="5"/>
      <c r="M10" s="5"/>
      <c r="N10" s="5"/>
      <c r="O10" s="5"/>
      <c r="P10" s="5"/>
      <c r="Q10" s="5"/>
    </row>
    <row r="11" spans="1:17" x14ac:dyDescent="0.35">
      <c r="A11" s="5"/>
      <c r="B11" s="5"/>
      <c r="C11" s="5"/>
      <c r="D11" s="5"/>
      <c r="E11" s="5"/>
      <c r="F11" s="5"/>
      <c r="G11" s="5"/>
      <c r="H11" s="5"/>
      <c r="I11" s="5"/>
      <c r="J11" s="5"/>
      <c r="K11" s="5"/>
      <c r="L11" s="5"/>
      <c r="M11" s="5"/>
      <c r="N11" s="5"/>
      <c r="O11" s="5"/>
      <c r="P11" s="5"/>
      <c r="Q11" s="5"/>
    </row>
    <row r="12" spans="1:17" x14ac:dyDescent="0.35">
      <c r="A12" s="5"/>
      <c r="B12" s="5"/>
      <c r="C12" s="5"/>
      <c r="D12" s="5"/>
      <c r="E12" s="5"/>
      <c r="F12" s="5"/>
      <c r="G12" s="5"/>
      <c r="H12" s="5"/>
      <c r="I12" s="5"/>
      <c r="J12" s="5"/>
      <c r="K12" s="5"/>
      <c r="L12" s="5"/>
      <c r="M12" s="5"/>
      <c r="N12" s="5"/>
      <c r="O12" s="5"/>
      <c r="P12" s="5"/>
      <c r="Q12" s="5"/>
    </row>
    <row r="13" spans="1:17" x14ac:dyDescent="0.35">
      <c r="A13" s="5"/>
      <c r="B13" s="5"/>
      <c r="C13" s="5"/>
      <c r="D13" s="5"/>
      <c r="E13" s="5"/>
      <c r="F13" s="5"/>
      <c r="G13" s="5"/>
      <c r="H13" s="5"/>
      <c r="I13" s="5"/>
      <c r="J13" s="5"/>
      <c r="K13" s="5"/>
      <c r="L13" s="5"/>
      <c r="M13" s="5"/>
      <c r="N13" s="5"/>
      <c r="O13" s="5"/>
      <c r="P13" s="5"/>
      <c r="Q13" s="5"/>
    </row>
    <row r="14" spans="1:17" x14ac:dyDescent="0.35">
      <c r="A14" s="5"/>
      <c r="B14" s="5"/>
      <c r="C14" s="5"/>
      <c r="D14" s="5"/>
      <c r="E14" s="5"/>
      <c r="F14" s="5"/>
      <c r="G14" s="5"/>
      <c r="H14" s="5"/>
      <c r="I14" s="5"/>
      <c r="J14" s="5"/>
      <c r="K14" s="5"/>
      <c r="L14" s="5"/>
      <c r="M14" s="5"/>
      <c r="N14" s="5"/>
      <c r="O14" s="5"/>
      <c r="P14" s="5"/>
      <c r="Q14" s="5"/>
    </row>
    <row r="15" spans="1:17" x14ac:dyDescent="0.35">
      <c r="A15" s="5"/>
      <c r="B15" s="5"/>
      <c r="C15" s="5"/>
      <c r="D15" s="5"/>
      <c r="E15" s="5"/>
      <c r="F15" s="5"/>
      <c r="G15" s="5"/>
      <c r="H15" s="5"/>
      <c r="I15" s="5"/>
      <c r="J15" s="5"/>
      <c r="K15" s="5"/>
      <c r="L15" s="5"/>
      <c r="M15" s="5"/>
      <c r="N15" s="5"/>
      <c r="O15" s="5"/>
      <c r="P15" s="5"/>
      <c r="Q15" s="5"/>
    </row>
    <row r="16" spans="1:17" x14ac:dyDescent="0.35">
      <c r="A16" s="5"/>
      <c r="B16" s="5"/>
      <c r="C16" s="5"/>
      <c r="D16" s="5"/>
      <c r="E16" s="5"/>
      <c r="F16" s="5"/>
      <c r="G16" s="5"/>
      <c r="H16" s="5"/>
      <c r="I16" s="5"/>
      <c r="J16" s="5"/>
      <c r="K16" s="5"/>
      <c r="L16" s="5"/>
      <c r="M16" s="5"/>
      <c r="N16" s="5"/>
      <c r="O16" s="5"/>
      <c r="P16" s="5"/>
      <c r="Q16" s="5"/>
    </row>
    <row r="17" spans="1:17" x14ac:dyDescent="0.35">
      <c r="A17" s="5"/>
      <c r="B17" s="5"/>
      <c r="C17" s="5"/>
      <c r="D17" s="5"/>
      <c r="E17" s="5"/>
      <c r="F17" s="5"/>
      <c r="G17" s="5"/>
      <c r="H17" s="5"/>
      <c r="I17" s="5"/>
      <c r="J17" s="5"/>
      <c r="K17" s="5"/>
      <c r="L17" s="5"/>
      <c r="M17" s="5"/>
      <c r="N17" s="5"/>
      <c r="O17" s="5"/>
      <c r="P17" s="5"/>
      <c r="Q17" s="5"/>
    </row>
    <row r="18" spans="1:17" x14ac:dyDescent="0.35">
      <c r="A18" s="5"/>
      <c r="B18" s="5"/>
      <c r="C18" s="5"/>
      <c r="D18" s="5"/>
      <c r="E18" s="5"/>
      <c r="F18" s="5"/>
      <c r="G18" s="5"/>
      <c r="H18" s="5"/>
      <c r="I18" s="5"/>
      <c r="J18" s="5"/>
      <c r="K18" s="5"/>
      <c r="L18" s="5"/>
      <c r="M18" s="5"/>
      <c r="N18" s="5"/>
      <c r="O18" s="5"/>
      <c r="P18" s="5"/>
      <c r="Q18" s="5"/>
    </row>
    <row r="19" spans="1:17" x14ac:dyDescent="0.35">
      <c r="A19" s="5"/>
      <c r="B19" s="5"/>
      <c r="C19" s="5"/>
      <c r="D19" s="5"/>
      <c r="E19" s="5"/>
      <c r="F19" s="5"/>
      <c r="G19" s="5"/>
      <c r="H19" s="5"/>
      <c r="I19" s="5"/>
      <c r="J19" s="5"/>
      <c r="K19" s="5"/>
      <c r="L19" s="5"/>
      <c r="M19" s="5"/>
      <c r="N19" s="5"/>
      <c r="O19" s="5"/>
      <c r="P19" s="5"/>
      <c r="Q19" s="5"/>
    </row>
    <row r="20" spans="1:17" x14ac:dyDescent="0.35">
      <c r="A20" s="5"/>
      <c r="B20" s="5"/>
      <c r="C20" s="5"/>
      <c r="D20" s="5"/>
      <c r="E20" s="5"/>
      <c r="F20" s="5"/>
      <c r="G20" s="5"/>
      <c r="H20" s="5"/>
      <c r="I20" s="5"/>
      <c r="J20" s="5"/>
      <c r="K20" s="5"/>
      <c r="L20" s="5"/>
      <c r="M20" s="5"/>
      <c r="N20" s="5"/>
      <c r="O20" s="5"/>
      <c r="P20" s="5"/>
      <c r="Q20" s="5"/>
    </row>
    <row r="21" spans="1:17" x14ac:dyDescent="0.35">
      <c r="A21" s="5"/>
      <c r="B21" s="5"/>
      <c r="C21" s="5"/>
      <c r="D21" s="5"/>
      <c r="E21" s="5"/>
      <c r="F21" s="5"/>
      <c r="G21" s="5"/>
      <c r="H21" s="5"/>
      <c r="I21" s="5"/>
      <c r="J21" s="5"/>
      <c r="K21" s="5"/>
      <c r="L21" s="5"/>
      <c r="M21" s="5"/>
      <c r="N21" s="5"/>
      <c r="O21" s="5"/>
      <c r="P21" s="5"/>
      <c r="Q21" s="5"/>
    </row>
    <row r="22" spans="1:17" x14ac:dyDescent="0.35">
      <c r="A22" s="5"/>
      <c r="B22" s="5"/>
      <c r="C22" s="5"/>
      <c r="D22" s="5"/>
      <c r="E22" s="5"/>
      <c r="F22" s="5"/>
      <c r="G22" s="5"/>
      <c r="H22" s="5"/>
      <c r="I22" s="5"/>
      <c r="J22" s="5"/>
      <c r="K22" s="5"/>
      <c r="L22" s="5"/>
      <c r="M22" s="5"/>
      <c r="N22" s="5"/>
      <c r="O22" s="5"/>
      <c r="P22" s="5"/>
      <c r="Q22" s="5"/>
    </row>
    <row r="23" spans="1:17" x14ac:dyDescent="0.35">
      <c r="A23" s="5"/>
      <c r="B23" s="5"/>
      <c r="C23" s="5"/>
      <c r="D23" s="5"/>
      <c r="E23" s="5"/>
      <c r="F23" s="5"/>
      <c r="G23" s="5"/>
      <c r="H23" s="5"/>
      <c r="I23" s="5"/>
      <c r="J23" s="5"/>
      <c r="K23" s="5"/>
      <c r="L23" s="5"/>
      <c r="M23" s="5"/>
      <c r="N23" s="5"/>
      <c r="O23" s="5"/>
      <c r="P23" s="5"/>
      <c r="Q23"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0E9C7DF9-D305-4D4A-8527-A50C20AFBA5C}">
  <ds:schemaRefs/>
</ds:datastoreItem>
</file>

<file path=customXml/itemProps2.xml><?xml version="1.0" encoding="utf-8"?>
<ds:datastoreItem xmlns:ds="http://schemas.openxmlformats.org/officeDocument/2006/customXml" ds:itemID="{A3F46DCE-F193-4C8A-9EDB-ED094AF7EAF4}">
  <ds:schemaRefs/>
</ds:datastoreItem>
</file>

<file path=customXml/itemProps3.xml><?xml version="1.0" encoding="utf-8"?>
<ds:datastoreItem xmlns:ds="http://schemas.openxmlformats.org/officeDocument/2006/customXml" ds:itemID="{98370D43-AD0F-4ACF-8AF7-4102D46BA1BF}">
  <ds:schemaRefs/>
</ds:datastoreItem>
</file>

<file path=customXml/itemProps4.xml><?xml version="1.0" encoding="utf-8"?>
<ds:datastoreItem xmlns:ds="http://schemas.openxmlformats.org/officeDocument/2006/customXml" ds:itemID="{D4F1C64B-2FDC-4261-B96F-CF78AE6438DC}">
  <ds:schemaRefs/>
</ds:datastoreItem>
</file>

<file path=customXml/itemProps5.xml><?xml version="1.0" encoding="utf-8"?>
<ds:datastoreItem xmlns:ds="http://schemas.openxmlformats.org/officeDocument/2006/customXml" ds:itemID="{359421FD-4C70-4562-9C34-0FCEEC59598D}">
  <ds:schemaRefs/>
</ds:datastoreItem>
</file>

<file path=customXml/itemProps6.xml><?xml version="1.0" encoding="utf-8"?>
<ds:datastoreItem xmlns:ds="http://schemas.openxmlformats.org/officeDocument/2006/customXml" ds:itemID="{1E90CAF3-C585-4A6F-940C-3660B10A736D}">
  <ds:schemaRefs/>
</ds:datastoreItem>
</file>

<file path=customXml/itemProps7.xml><?xml version="1.0" encoding="utf-8"?>
<ds:datastoreItem xmlns:ds="http://schemas.openxmlformats.org/officeDocument/2006/customXml" ds:itemID="{3C1080B5-CE1B-4881-981A-0E21C5153DB5}">
  <ds:schemaRefs/>
</ds:datastoreItem>
</file>

<file path=customXml/itemProps8.xml><?xml version="1.0" encoding="utf-8"?>
<ds:datastoreItem xmlns:ds="http://schemas.openxmlformats.org/officeDocument/2006/customXml" ds:itemID="{17D86976-A252-4002-B35D-CC0A012F83B9}">
  <ds:schemaRefs/>
</ds:datastoreItem>
</file>

<file path=customXml/itemProps9.xml><?xml version="1.0" encoding="utf-8"?>
<ds:datastoreItem xmlns:ds="http://schemas.openxmlformats.org/officeDocument/2006/customXml" ds:itemID="{BE53B954-9837-4A97-8390-162109F24D52}">
  <ds:schemaRefs/>
</ds:datastoreItem>
</file>

<file path=customXml/itemProps10.xml><?xml version="1.0" encoding="utf-8"?>
<ds:datastoreItem xmlns:ds="http://schemas.openxmlformats.org/officeDocument/2006/customXml" ds:itemID="{AAAE61AA-5522-4568-BCD1-A3D883645BD0}">
  <ds:schemaRefs/>
</ds:datastoreItem>
</file>

<file path=customXml/itemProps11.xml><?xml version="1.0" encoding="utf-8"?>
<ds:datastoreItem xmlns:ds="http://schemas.openxmlformats.org/officeDocument/2006/customXml" ds:itemID="{B60CA581-D830-4686-82C5-0D5970B0E7BF}">
  <ds:schemaRefs/>
</ds:datastoreItem>
</file>

<file path=customXml/itemProps12.xml><?xml version="1.0" encoding="utf-8"?>
<ds:datastoreItem xmlns:ds="http://schemas.openxmlformats.org/officeDocument/2006/customXml" ds:itemID="{CB5577A5-C7D7-442F-80D5-3A6B38EC80FF}">
  <ds:schemaRefs/>
</ds:datastoreItem>
</file>

<file path=customXml/itemProps13.xml><?xml version="1.0" encoding="utf-8"?>
<ds:datastoreItem xmlns:ds="http://schemas.openxmlformats.org/officeDocument/2006/customXml" ds:itemID="{DFDC2BF2-B9FD-42A8-894E-54242C004E43}">
  <ds:schemaRefs/>
</ds:datastoreItem>
</file>

<file path=customXml/itemProps14.xml><?xml version="1.0" encoding="utf-8"?>
<ds:datastoreItem xmlns:ds="http://schemas.openxmlformats.org/officeDocument/2006/customXml" ds:itemID="{ABC0C972-15B6-4B3B-9767-A4C8E6414DB7}">
  <ds:schemaRefs>
    <ds:schemaRef ds:uri="http://schemas.microsoft.com/DataMashup"/>
  </ds:schemaRefs>
</ds:datastoreItem>
</file>

<file path=customXml/itemProps15.xml><?xml version="1.0" encoding="utf-8"?>
<ds:datastoreItem xmlns:ds="http://schemas.openxmlformats.org/officeDocument/2006/customXml" ds:itemID="{7CAC6700-ADCA-4544-9DB8-F902583DA82D}">
  <ds:schemaRefs/>
</ds:datastoreItem>
</file>

<file path=customXml/itemProps16.xml><?xml version="1.0" encoding="utf-8"?>
<ds:datastoreItem xmlns:ds="http://schemas.openxmlformats.org/officeDocument/2006/customXml" ds:itemID="{6572FBDA-376B-4935-884D-FBE46FF5E84B}">
  <ds:schemaRefs/>
</ds:datastoreItem>
</file>

<file path=customXml/itemProps17.xml><?xml version="1.0" encoding="utf-8"?>
<ds:datastoreItem xmlns:ds="http://schemas.openxmlformats.org/officeDocument/2006/customXml" ds:itemID="{4003002B-2EBA-4340-B93A-535DF8082B76}">
  <ds:schemaRefs/>
</ds:datastoreItem>
</file>

<file path=customXml/itemProps18.xml><?xml version="1.0" encoding="utf-8"?>
<ds:datastoreItem xmlns:ds="http://schemas.openxmlformats.org/officeDocument/2006/customXml" ds:itemID="{5433007E-D929-4DD5-9C20-BF836C9AB04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Pivot-Report</vt:lpstr>
      <vt:lpstr>DashBoard</vt:lpstr>
      <vt:lpstr>Daily ER No Of Patient</vt:lpstr>
      <vt:lpstr>Avg Wait Time</vt:lpstr>
      <vt:lpstr>Satisfaction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Omkar Gautam Raut</dc:creator>
  <cp:lastModifiedBy>Omkar Gautam Raut</cp:lastModifiedBy>
  <dcterms:created xsi:type="dcterms:W3CDTF">2026-09-23T07:00:36Z</dcterms:created>
  <dcterms:modified xsi:type="dcterms:W3CDTF">2026-09-25T16:51:30Z</dcterms:modified>
</cp:coreProperties>
</file>